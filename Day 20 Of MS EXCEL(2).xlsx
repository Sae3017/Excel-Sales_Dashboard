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9682be06e10e01fe/SAIKRISHNA/"/>
    </mc:Choice>
  </mc:AlternateContent>
  <xr:revisionPtr revIDLastSave="592" documentId="8_{A86399A8-3555-4136-8331-283A00D4026D}" xr6:coauthVersionLast="47" xr6:coauthVersionMax="47" xr10:uidLastSave="{9B46671F-B365-42D1-B9DC-F2F3B77F1A0C}"/>
  <bookViews>
    <workbookView xWindow="-108" yWindow="-108" windowWidth="23256" windowHeight="12456" activeTab="7" xr2:uid="{5FE77813-0105-4A31-A0BF-F558EFEB2247}"/>
  </bookViews>
  <sheets>
    <sheet name="Sheet1" sheetId="1" r:id="rId1"/>
    <sheet name="Sheet7" sheetId="7" r:id="rId2"/>
    <sheet name="Sheet8" sheetId="8" r:id="rId3"/>
    <sheet name="Sheet2" sheetId="2" r:id="rId4"/>
    <sheet name="Sheet3" sheetId="3" r:id="rId5"/>
    <sheet name="Sheet4" sheetId="4" r:id="rId6"/>
    <sheet name="Sheet5" sheetId="5" r:id="rId7"/>
    <sheet name="Sheet6" sheetId="6" r:id="rId8"/>
  </sheets>
  <definedNames>
    <definedName name="Slicer_Category">#N/A</definedName>
    <definedName name="Slicer_Order_Status">#N/A</definedName>
    <definedName name="Slicer_Payment_Method">#N/A</definedName>
    <definedName name="Slicer_Product">#N/A</definedName>
    <definedName name="Slicer_Region2">#N/A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7" l="1"/>
  <c r="D6" i="7"/>
  <c r="C6" i="7"/>
  <c r="B6" i="7"/>
  <c r="B8" i="3"/>
  <c r="B3" i="3"/>
  <c r="K7" i="5"/>
  <c r="H7" i="5"/>
  <c r="E7" i="5"/>
  <c r="B7" i="5"/>
  <c r="B19" i="3"/>
  <c r="B18" i="3"/>
  <c r="B17" i="3"/>
  <c r="B16" i="3"/>
  <c r="B15" i="3"/>
  <c r="B14" i="3"/>
  <c r="B13" i="3"/>
  <c r="B12" i="3"/>
  <c r="B11" i="3"/>
  <c r="B10" i="3"/>
  <c r="B7" i="3"/>
  <c r="B6" i="3"/>
  <c r="B5" i="3"/>
  <c r="B4" i="3"/>
  <c r="N2" i="2"/>
  <c r="N3" i="2"/>
  <c r="N4" i="2"/>
  <c r="N5" i="2"/>
  <c r="N6" i="2"/>
  <c r="N7" i="2"/>
  <c r="N8" i="2"/>
  <c r="N9" i="2"/>
  <c r="N10" i="2"/>
  <c r="N11" i="2"/>
  <c r="N12" i="2"/>
  <c r="N13" i="2"/>
  <c r="N14" i="2"/>
  <c r="N15" i="2"/>
  <c r="N16" i="2"/>
  <c r="M2" i="2"/>
  <c r="M3" i="2"/>
  <c r="M4" i="2"/>
  <c r="M5" i="2"/>
  <c r="M6" i="2"/>
  <c r="M7" i="2"/>
  <c r="M8" i="2"/>
  <c r="M9" i="2"/>
  <c r="M10" i="2"/>
  <c r="M11" i="2"/>
  <c r="M12" i="2"/>
  <c r="M13" i="2"/>
  <c r="M14" i="2"/>
  <c r="M15" i="2"/>
  <c r="M16" i="2"/>
  <c r="L2" i="2"/>
  <c r="L3" i="2"/>
  <c r="L4" i="2"/>
  <c r="L5" i="2"/>
  <c r="L6" i="2"/>
  <c r="L7" i="2"/>
  <c r="L8" i="2"/>
  <c r="L9" i="2"/>
  <c r="L10" i="2"/>
  <c r="L11" i="2"/>
  <c r="L12" i="2"/>
  <c r="L13" i="2"/>
  <c r="L14" i="2"/>
  <c r="L15" i="2"/>
  <c r="L16" i="2"/>
</calcChain>
</file>

<file path=xl/sharedStrings.xml><?xml version="1.0" encoding="utf-8"?>
<sst xmlns="http://schemas.openxmlformats.org/spreadsheetml/2006/main" count="277" uniqueCount="73">
  <si>
    <t>Order ID</t>
  </si>
  <si>
    <t>Customer</t>
  </si>
  <si>
    <t>Product</t>
  </si>
  <si>
    <t>Category</t>
  </si>
  <si>
    <t>Region</t>
  </si>
  <si>
    <t>Quantity</t>
  </si>
  <si>
    <t>Unit Price</t>
  </si>
  <si>
    <t>Sales</t>
  </si>
  <si>
    <t>Payment Method</t>
  </si>
  <si>
    <t>Order Status</t>
  </si>
  <si>
    <t>Order Date</t>
  </si>
  <si>
    <t>Ravi</t>
  </si>
  <si>
    <t>Laptop</t>
  </si>
  <si>
    <t>Electronics</t>
  </si>
  <si>
    <t>Hyderabad</t>
  </si>
  <si>
    <t>UPI</t>
  </si>
  <si>
    <t>Delivered</t>
  </si>
  <si>
    <t>Priya</t>
  </si>
  <si>
    <t>Mouse</t>
  </si>
  <si>
    <t>Accessories</t>
  </si>
  <si>
    <t>Chennai</t>
  </si>
  <si>
    <t>Card</t>
  </si>
  <si>
    <t>Arjun</t>
  </si>
  <si>
    <t>Monitor</t>
  </si>
  <si>
    <t>Bengaluru</t>
  </si>
  <si>
    <t>Sneha</t>
  </si>
  <si>
    <t>Keyboard</t>
  </si>
  <si>
    <t>Cash</t>
  </si>
  <si>
    <t>Pending</t>
  </si>
  <si>
    <t>Kiran</t>
  </si>
  <si>
    <t>Printer</t>
  </si>
  <si>
    <t>Office</t>
  </si>
  <si>
    <t>Anjali</t>
  </si>
  <si>
    <t>Mumbai</t>
  </si>
  <si>
    <t>Rahul</t>
  </si>
  <si>
    <t>Headphones</t>
  </si>
  <si>
    <t>Cancelled</t>
  </si>
  <si>
    <t>Divya</t>
  </si>
  <si>
    <t>Suresh</t>
  </si>
  <si>
    <t>Meena</t>
  </si>
  <si>
    <t>Vamsi</t>
  </si>
  <si>
    <t>Pooja</t>
  </si>
  <si>
    <t>Naveen</t>
  </si>
  <si>
    <t>Asha</t>
  </si>
  <si>
    <t>Varun</t>
  </si>
  <si>
    <t>Sales Category</t>
  </si>
  <si>
    <t>Quantity Category</t>
  </si>
  <si>
    <t>Priority Order</t>
  </si>
  <si>
    <t>RETAIL SALES ANALYSIS CALCULATIONS</t>
  </si>
  <si>
    <t>TOTAL SALES</t>
  </si>
  <si>
    <t>TOTAL ORDERS</t>
  </si>
  <si>
    <t>TOTAL QUANTITY</t>
  </si>
  <si>
    <t>HIGHEST SALE</t>
  </si>
  <si>
    <t>LOWEST SALE</t>
  </si>
  <si>
    <t>AVERAGE SALE</t>
  </si>
  <si>
    <t>LAPTOP SALES</t>
  </si>
  <si>
    <t>HYDERABAD SALES</t>
  </si>
  <si>
    <t>LAPTOP SALES IN HYDERABAD</t>
  </si>
  <si>
    <t>DELIVERED ORDERS</t>
  </si>
  <si>
    <t>PENDING ORDERS</t>
  </si>
  <si>
    <t>CANCELLED ORDERS</t>
  </si>
  <si>
    <t>DELIVERED SALES</t>
  </si>
  <si>
    <t>ELECTRONICS SALES</t>
  </si>
  <si>
    <t>ACCESSORIES SALES</t>
  </si>
  <si>
    <t>OFFICE SALES</t>
  </si>
  <si>
    <t>Row Labels</t>
  </si>
  <si>
    <t>Grand Total</t>
  </si>
  <si>
    <t>Sum of Sales</t>
  </si>
  <si>
    <t>Sum of Quantity</t>
  </si>
  <si>
    <t>Count of Order ID</t>
  </si>
  <si>
    <t>RETAIL SALES PERFORMANCE DASHBOARD</t>
  </si>
  <si>
    <t>Average of Sales2</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</si>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</sst>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7" x14ac:knownFonts="1">
    <font>
      <sz val="11"/>
      <color theme="1"/>
      <name val="Aptos Narrow"/>
      <family val="2"/>
      <scheme val="minor"/>
    </font>
    <font>
      <b/>
      <sz val="11"/>
      <color theme="1"/>
      <name val="Aptos Narrow"/>
      <family val="2"/>
      <scheme val="minor"/>
    </font>
    <font>
      <b/>
      <sz val="16"/>
      <color theme="1"/>
      <name val="Aptos Narrow"/>
      <family val="2"/>
      <scheme val="minor"/>
    </font>
    <font>
      <b/>
      <sz val="14"/>
      <color theme="1"/>
      <name val="Aptos Narrow"/>
      <family val="2"/>
      <scheme val="minor"/>
    </font>
    <font>
      <sz val="20"/>
      <color theme="1"/>
      <name val="Aptos Narrow"/>
      <family val="2"/>
      <scheme val="minor"/>
    </font>
    <font>
      <b/>
      <sz val="20"/>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2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164" fontId="0" fillId="0" borderId="0" xfId="0" applyNumberFormat="1"/>
    <xf numFmtId="164" fontId="1" fillId="0" borderId="0" xfId="0" applyNumberFormat="1" applyFont="1" applyAlignment="1">
      <alignment horizontal="center" vertical="center" wrapText="1"/>
    </xf>
    <xf numFmtId="164" fontId="0" fillId="0" borderId="0" xfId="0" applyNumberFormat="1" applyAlignment="1">
      <alignment vertical="center" wrapText="1"/>
    </xf>
    <xf numFmtId="0" fontId="2" fillId="0" borderId="0" xfId="0" applyFont="1"/>
    <xf numFmtId="0" fontId="3" fillId="0" borderId="0" xfId="0" applyFont="1"/>
    <xf numFmtId="0" fontId="0" fillId="0" borderId="0" xfId="0" pivotButton="1"/>
    <xf numFmtId="0" fontId="0" fillId="0" borderId="0" xfId="0" applyAlignment="1">
      <alignment horizontal="left"/>
    </xf>
    <xf numFmtId="0" fontId="6" fillId="3" borderId="1" xfId="0" applyFont="1" applyFill="1" applyBorder="1" applyAlignment="1">
      <alignment horizontal="center" vertical="center" wrapText="1"/>
    </xf>
    <xf numFmtId="14" fontId="0" fillId="2" borderId="1" xfId="0" applyNumberFormat="1" applyFill="1" applyBorder="1" applyAlignment="1">
      <alignment vertical="center" wrapText="1"/>
    </xf>
    <xf numFmtId="14" fontId="0" fillId="0" borderId="1" xfId="0" applyNumberFormat="1" applyBorder="1" applyAlignment="1">
      <alignment vertical="center" wrapText="1"/>
    </xf>
    <xf numFmtId="164" fontId="6" fillId="3" borderId="1" xfId="0" applyNumberFormat="1" applyFont="1" applyFill="1" applyBorder="1" applyAlignment="1">
      <alignment horizontal="center" vertical="center" wrapText="1"/>
    </xf>
    <xf numFmtId="164" fontId="0" fillId="2" borderId="1" xfId="0" applyNumberFormat="1" applyFill="1" applyBorder="1" applyAlignment="1">
      <alignment vertical="center" wrapText="1"/>
    </xf>
    <xf numFmtId="164" fontId="0" fillId="0" borderId="1" xfId="0" applyNumberFormat="1" applyBorder="1" applyAlignment="1">
      <alignment vertical="center" wrapText="1"/>
    </xf>
    <xf numFmtId="14" fontId="0" fillId="0" borderId="0" xfId="0" applyNumberFormat="1" applyAlignment="1">
      <alignment horizontal="left"/>
    </xf>
    <xf numFmtId="14" fontId="0" fillId="0" borderId="0" xfId="0" applyNumberFormat="1"/>
    <xf numFmtId="0" fontId="1" fillId="0" borderId="0" xfId="0" applyFont="1" applyAlignment="1">
      <alignment horizontal="center"/>
    </xf>
    <xf numFmtId="0" fontId="4" fillId="0" borderId="0" xfId="0" applyFont="1" applyAlignment="1">
      <alignment horizontal="center"/>
    </xf>
    <xf numFmtId="0" fontId="3" fillId="0" borderId="0" xfId="0" applyFont="1" applyAlignment="1">
      <alignment horizontal="center"/>
    </xf>
    <xf numFmtId="164" fontId="5" fillId="0" borderId="0" xfId="0" applyNumberFormat="1" applyFont="1" applyAlignment="1">
      <alignment horizontal="center"/>
    </xf>
    <xf numFmtId="0" fontId="5" fillId="0" borderId="0" xfId="0" applyFont="1" applyAlignment="1">
      <alignment horizontal="center"/>
    </xf>
  </cellXfs>
  <cellStyles count="1">
    <cellStyle name="Normal" xfId="0" builtinId="0"/>
  </cellStyles>
  <dxfs count="31">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64" formatCode="&quot;₹&quot;\ #,##0"/>
      <alignment horizontal="general" vertical="center" textRotation="0" wrapText="1" indent="0" justifyLastLine="0" shrinkToFit="0" readingOrder="0"/>
    </dxf>
    <dxf>
      <numFmt numFmtId="164" formatCode="&quot;₹&quot;\ #,##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64" formatCode="&quot;₹&quot;\ #,##0"/>
      <alignment horizontal="general" vertical="center" textRotation="0" wrapText="1" indent="0" justifyLastLine="0" shrinkToFit="0" readingOrder="0"/>
    </dxf>
    <dxf>
      <numFmt numFmtId="164" formatCode="&quot;₹&quot;\ #,##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sz val="12"/>
        <name val="Calibri"/>
        <family val="2"/>
        <scheme val="none"/>
      </font>
    </dxf>
    <dxf>
      <fill>
        <patternFill>
          <bgColor rgb="FFFFC000"/>
        </patternFill>
      </fill>
      <border>
        <left style="thin">
          <color theme="1"/>
        </left>
        <right style="thin">
          <color theme="1"/>
        </right>
        <top style="thin">
          <color theme="1"/>
        </top>
        <bottom style="thin">
          <color theme="1"/>
        </bottom>
      </border>
    </dxf>
  </dxfs>
  <tableStyles count="1" defaultTableStyle="TableStyleMedium2" defaultPivotStyle="PivotStyleLight16">
    <tableStyle name="Slicer Style 1" pivot="0" table="0" count="3" xr9:uid="{F5766806-76E1-4DD0-8B5C-2334E6BC0B5E}">
      <tableStyleElement type="wholeTable" dxfId="30"/>
      <tableStyleElement type="headerRow" dxfId="29"/>
    </tableStyle>
  </tableStyles>
  <colors>
    <mruColors>
      <color rgb="FFFFFF9F"/>
      <color rgb="FFFFC000"/>
      <color rgb="FFF2F22A"/>
    </mruColors>
  </colors>
  <extLst>
    <ext xmlns:x14="http://schemas.microsoft.com/office/spreadsheetml/2009/9/main" uri="{46F421CA-312F-682f-3DD2-61675219B42D}">
      <x14:dxfs count="1">
        <dxf>
          <fill>
            <patternFill>
              <bgColor rgb="FFFFFF9F"/>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2.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20 Of MS EXCEL(2).xlsx]Sheet8!PivotTable1</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Sheet8!$A$4:$A$19</c:f>
              <c:strCache>
                <c:ptCount val="15"/>
                <c:pt idx="0">
                  <c:v>01-09-2026</c:v>
                </c:pt>
                <c:pt idx="1">
                  <c:v>02-09-2026</c:v>
                </c:pt>
                <c:pt idx="2">
                  <c:v>03-09-2026</c:v>
                </c:pt>
                <c:pt idx="3">
                  <c:v>04-09-2026</c:v>
                </c:pt>
                <c:pt idx="4">
                  <c:v>05-09-2026</c:v>
                </c:pt>
                <c:pt idx="5">
                  <c:v>06-09-2026</c:v>
                </c:pt>
                <c:pt idx="6">
                  <c:v>07-09-2026</c:v>
                </c:pt>
                <c:pt idx="7">
                  <c:v>08-09-2026</c:v>
                </c:pt>
                <c:pt idx="8">
                  <c:v>09-09-2026</c:v>
                </c:pt>
                <c:pt idx="9">
                  <c:v>10-09-2026</c:v>
                </c:pt>
                <c:pt idx="10">
                  <c:v>11-09-2026</c:v>
                </c:pt>
                <c:pt idx="11">
                  <c:v>12-09-2026</c:v>
                </c:pt>
                <c:pt idx="12">
                  <c:v>13-09-2026</c:v>
                </c:pt>
                <c:pt idx="13">
                  <c:v>14-09-2026</c:v>
                </c:pt>
                <c:pt idx="14">
                  <c:v>15-09-2026</c:v>
                </c:pt>
              </c:strCache>
            </c:strRef>
          </c:cat>
          <c:val>
            <c:numRef>
              <c:f>Sheet8!$B$4:$B$19</c:f>
              <c:numCache>
                <c:formatCode>"₹"\ #,##0</c:formatCode>
                <c:ptCount val="15"/>
                <c:pt idx="0">
                  <c:v>60000</c:v>
                </c:pt>
                <c:pt idx="1">
                  <c:v>4000</c:v>
                </c:pt>
                <c:pt idx="2">
                  <c:v>40000</c:v>
                </c:pt>
                <c:pt idx="3">
                  <c:v>5400</c:v>
                </c:pt>
                <c:pt idx="4">
                  <c:v>15000</c:v>
                </c:pt>
                <c:pt idx="5">
                  <c:v>120000</c:v>
                </c:pt>
                <c:pt idx="6">
                  <c:v>12000</c:v>
                </c:pt>
                <c:pt idx="7">
                  <c:v>30000</c:v>
                </c:pt>
                <c:pt idx="8">
                  <c:v>8000</c:v>
                </c:pt>
                <c:pt idx="9">
                  <c:v>20000</c:v>
                </c:pt>
                <c:pt idx="10">
                  <c:v>60000</c:v>
                </c:pt>
                <c:pt idx="11">
                  <c:v>7200</c:v>
                </c:pt>
                <c:pt idx="12">
                  <c:v>45000</c:v>
                </c:pt>
                <c:pt idx="13">
                  <c:v>60000</c:v>
                </c:pt>
                <c:pt idx="14">
                  <c:v>60000</c:v>
                </c:pt>
              </c:numCache>
            </c:numRef>
          </c:val>
          <c:smooth val="0"/>
          <c:extLst>
            <c:ext xmlns:c16="http://schemas.microsoft.com/office/drawing/2014/chart" uri="{C3380CC4-5D6E-409C-BE32-E72D297353CC}">
              <c16:uniqueId val="{00000000-94C2-40FC-B030-5A4AA95BD438}"/>
            </c:ext>
          </c:extLst>
        </c:ser>
        <c:dLbls>
          <c:showLegendKey val="0"/>
          <c:showVal val="0"/>
          <c:showCatName val="0"/>
          <c:showSerName val="0"/>
          <c:showPercent val="0"/>
          <c:showBubbleSize val="0"/>
        </c:dLbls>
        <c:marker val="1"/>
        <c:smooth val="0"/>
        <c:axId val="448383647"/>
        <c:axId val="605878191"/>
      </c:lineChart>
      <c:catAx>
        <c:axId val="44838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878191"/>
        <c:crosses val="autoZero"/>
        <c:auto val="1"/>
        <c:lblAlgn val="ctr"/>
        <c:lblOffset val="100"/>
        <c:noMultiLvlLbl val="0"/>
      </c:catAx>
      <c:valAx>
        <c:axId val="6058781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383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DAILY</a:t>
            </a:r>
            <a:r>
              <a:rPr lang="en-US" b="1" baseline="0"/>
              <a:t> SALES TREND</a:t>
            </a:r>
            <a:endParaRPr lang="en-US" b="1"/>
          </a:p>
        </c:rich>
      </c:tx>
      <c:layout>
        <c:manualLayout>
          <c:xMode val="edge"/>
          <c:yMode val="edge"/>
          <c:x val="2.9277298382865434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Sheet2!$H$23</c:f>
              <c:strCache>
                <c:ptCount val="1"/>
                <c:pt idx="0">
                  <c:v>Sales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Sheet2!$G$24:$G$38</c:f>
              <c:numCache>
                <c:formatCode>m/d/yyyy</c:formatCode>
                <c:ptCount val="15"/>
                <c:pt idx="0">
                  <c:v>46266</c:v>
                </c:pt>
                <c:pt idx="1">
                  <c:v>46267</c:v>
                </c:pt>
                <c:pt idx="2">
                  <c:v>46268</c:v>
                </c:pt>
                <c:pt idx="3">
                  <c:v>46269</c:v>
                </c:pt>
                <c:pt idx="4">
                  <c:v>46270</c:v>
                </c:pt>
                <c:pt idx="5">
                  <c:v>46271</c:v>
                </c:pt>
                <c:pt idx="6">
                  <c:v>46272</c:v>
                </c:pt>
                <c:pt idx="7">
                  <c:v>46273</c:v>
                </c:pt>
                <c:pt idx="8">
                  <c:v>46274</c:v>
                </c:pt>
                <c:pt idx="9">
                  <c:v>46275</c:v>
                </c:pt>
                <c:pt idx="10">
                  <c:v>46276</c:v>
                </c:pt>
                <c:pt idx="11">
                  <c:v>46277</c:v>
                </c:pt>
                <c:pt idx="12">
                  <c:v>46278</c:v>
                </c:pt>
                <c:pt idx="13">
                  <c:v>46279</c:v>
                </c:pt>
                <c:pt idx="14">
                  <c:v>46280</c:v>
                </c:pt>
              </c:numCache>
            </c:numRef>
          </c:xVal>
          <c:yVal>
            <c:numRef>
              <c:f>Sheet2!$H$24:$H$38</c:f>
              <c:numCache>
                <c:formatCode>"₹"\ #,##0</c:formatCode>
                <c:ptCount val="15"/>
                <c:pt idx="0">
                  <c:v>60000</c:v>
                </c:pt>
                <c:pt idx="1">
                  <c:v>4000</c:v>
                </c:pt>
                <c:pt idx="2">
                  <c:v>40000</c:v>
                </c:pt>
                <c:pt idx="3">
                  <c:v>5400</c:v>
                </c:pt>
                <c:pt idx="4">
                  <c:v>15000</c:v>
                </c:pt>
                <c:pt idx="5">
                  <c:v>120000</c:v>
                </c:pt>
                <c:pt idx="6">
                  <c:v>12000</c:v>
                </c:pt>
                <c:pt idx="7">
                  <c:v>30000</c:v>
                </c:pt>
                <c:pt idx="8">
                  <c:v>8000</c:v>
                </c:pt>
                <c:pt idx="9">
                  <c:v>20000</c:v>
                </c:pt>
                <c:pt idx="10">
                  <c:v>60000</c:v>
                </c:pt>
                <c:pt idx="11">
                  <c:v>7200</c:v>
                </c:pt>
                <c:pt idx="12">
                  <c:v>45000</c:v>
                </c:pt>
                <c:pt idx="13">
                  <c:v>60000</c:v>
                </c:pt>
                <c:pt idx="14">
                  <c:v>60000</c:v>
                </c:pt>
              </c:numCache>
            </c:numRef>
          </c:yVal>
          <c:smooth val="0"/>
          <c:extLst>
            <c:ext xmlns:c16="http://schemas.microsoft.com/office/drawing/2014/chart" uri="{C3380CC4-5D6E-409C-BE32-E72D297353CC}">
              <c16:uniqueId val="{00000000-407A-4A79-8240-F664674D5935}"/>
            </c:ext>
          </c:extLst>
        </c:ser>
        <c:dLbls>
          <c:dLblPos val="t"/>
          <c:showLegendKey val="0"/>
          <c:showVal val="1"/>
          <c:showCatName val="0"/>
          <c:showSerName val="0"/>
          <c:showPercent val="0"/>
          <c:showBubbleSize val="0"/>
        </c:dLbls>
        <c:axId val="288845279"/>
        <c:axId val="2070728303"/>
      </c:scatterChart>
      <c:valAx>
        <c:axId val="288845279"/>
        <c:scaling>
          <c:orientation val="minMax"/>
        </c:scaling>
        <c:delete val="0"/>
        <c:axPos val="b"/>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728303"/>
        <c:crosses val="autoZero"/>
        <c:crossBetween val="midCat"/>
      </c:valAx>
      <c:valAx>
        <c:axId val="20707283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84527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20 Of MS EXCEL(2).xlsx]Sheet4!PivotTable1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c:f>
              <c:strCache>
                <c:ptCount val="1"/>
                <c:pt idx="0">
                  <c:v>Total</c:v>
                </c:pt>
              </c:strCache>
            </c:strRef>
          </c:tx>
          <c:spPr>
            <a:solidFill>
              <a:schemeClr val="accent1"/>
            </a:solidFill>
            <a:ln>
              <a:noFill/>
            </a:ln>
            <a:effectLst/>
          </c:spPr>
          <c:invertIfNegative val="0"/>
          <c:cat>
            <c:strRef>
              <c:f>Sheet4!$A$2:$A$8</c:f>
              <c:strCache>
                <c:ptCount val="6"/>
                <c:pt idx="0">
                  <c:v>Headphones</c:v>
                </c:pt>
                <c:pt idx="1">
                  <c:v>Keyboard</c:v>
                </c:pt>
                <c:pt idx="2">
                  <c:v>Laptop</c:v>
                </c:pt>
                <c:pt idx="3">
                  <c:v>Monitor</c:v>
                </c:pt>
                <c:pt idx="4">
                  <c:v>Mouse</c:v>
                </c:pt>
                <c:pt idx="5">
                  <c:v>Printer</c:v>
                </c:pt>
              </c:strCache>
            </c:strRef>
          </c:cat>
          <c:val>
            <c:numRef>
              <c:f>Sheet4!$B$2:$B$8</c:f>
              <c:numCache>
                <c:formatCode>"₹"\ #,##0</c:formatCode>
                <c:ptCount val="6"/>
                <c:pt idx="0">
                  <c:v>12000</c:v>
                </c:pt>
                <c:pt idx="1">
                  <c:v>12600</c:v>
                </c:pt>
                <c:pt idx="2">
                  <c:v>300000</c:v>
                </c:pt>
                <c:pt idx="3">
                  <c:v>120000</c:v>
                </c:pt>
                <c:pt idx="4">
                  <c:v>12000</c:v>
                </c:pt>
                <c:pt idx="5">
                  <c:v>90000</c:v>
                </c:pt>
              </c:numCache>
            </c:numRef>
          </c:val>
          <c:extLst>
            <c:ext xmlns:c16="http://schemas.microsoft.com/office/drawing/2014/chart" uri="{C3380CC4-5D6E-409C-BE32-E72D297353CC}">
              <c16:uniqueId val="{00000000-5043-49AF-82BB-8874FA8CDE55}"/>
            </c:ext>
          </c:extLst>
        </c:ser>
        <c:dLbls>
          <c:showLegendKey val="0"/>
          <c:showVal val="0"/>
          <c:showCatName val="0"/>
          <c:showSerName val="0"/>
          <c:showPercent val="0"/>
          <c:showBubbleSize val="0"/>
        </c:dLbls>
        <c:gapWidth val="219"/>
        <c:overlap val="-27"/>
        <c:axId val="1221582928"/>
        <c:axId val="1213803088"/>
      </c:barChart>
      <c:catAx>
        <c:axId val="122158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803088"/>
        <c:crosses val="autoZero"/>
        <c:auto val="1"/>
        <c:lblAlgn val="ctr"/>
        <c:lblOffset val="100"/>
        <c:noMultiLvlLbl val="0"/>
      </c:catAx>
      <c:valAx>
        <c:axId val="12138030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58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20 Of MS EXCEL(2).xlsx]Sheet4!PivotTable3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SALES</a:t>
            </a:r>
            <a:r>
              <a:rPr lang="en-IN" sz="1600" b="1" baseline="0"/>
              <a:t> BY REGION</a:t>
            </a:r>
            <a:endParaRPr lang="en-IN" sz="1600" b="1"/>
          </a:p>
        </c:rich>
      </c:tx>
      <c:layout>
        <c:manualLayout>
          <c:xMode val="edge"/>
          <c:yMode val="edge"/>
          <c:x val="3.7687445319335093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43372703412074"/>
          <c:y val="0.19486111111111112"/>
          <c:w val="0.72672594050743655"/>
          <c:h val="0.72125801983085447"/>
        </c:manualLayout>
      </c:layout>
      <c:barChart>
        <c:barDir val="bar"/>
        <c:grouping val="clustered"/>
        <c:varyColors val="0"/>
        <c:ser>
          <c:idx val="0"/>
          <c:order val="0"/>
          <c:tx>
            <c:strRef>
              <c:f>Sheet4!$H$1</c:f>
              <c:strCache>
                <c:ptCount val="1"/>
                <c:pt idx="0">
                  <c:v>Total</c:v>
                </c:pt>
              </c:strCache>
            </c:strRef>
          </c:tx>
          <c:spPr>
            <a:solidFill>
              <a:schemeClr val="accent1"/>
            </a:solidFill>
            <a:ln>
              <a:noFill/>
            </a:ln>
            <a:effectLst/>
          </c:spPr>
          <c:invertIfNegative val="0"/>
          <c:cat>
            <c:strRef>
              <c:f>Sheet4!$G$2:$G$6</c:f>
              <c:strCache>
                <c:ptCount val="4"/>
                <c:pt idx="0">
                  <c:v>Bengaluru</c:v>
                </c:pt>
                <c:pt idx="1">
                  <c:v>Chennai</c:v>
                </c:pt>
                <c:pt idx="2">
                  <c:v>Hyderabad</c:v>
                </c:pt>
                <c:pt idx="3">
                  <c:v>Mumbai</c:v>
                </c:pt>
              </c:strCache>
            </c:strRef>
          </c:cat>
          <c:val>
            <c:numRef>
              <c:f>Sheet4!$H$2:$H$6</c:f>
              <c:numCache>
                <c:formatCode>"₹"\ #,##0</c:formatCode>
                <c:ptCount val="4"/>
                <c:pt idx="0">
                  <c:v>130000</c:v>
                </c:pt>
                <c:pt idx="1">
                  <c:v>99000</c:v>
                </c:pt>
                <c:pt idx="2">
                  <c:v>182400</c:v>
                </c:pt>
                <c:pt idx="3">
                  <c:v>135200</c:v>
                </c:pt>
              </c:numCache>
            </c:numRef>
          </c:val>
          <c:extLst>
            <c:ext xmlns:c16="http://schemas.microsoft.com/office/drawing/2014/chart" uri="{C3380CC4-5D6E-409C-BE32-E72D297353CC}">
              <c16:uniqueId val="{00000000-5F70-4B64-AEBB-B21321610159}"/>
            </c:ext>
          </c:extLst>
        </c:ser>
        <c:dLbls>
          <c:showLegendKey val="0"/>
          <c:showVal val="0"/>
          <c:showCatName val="0"/>
          <c:showSerName val="0"/>
          <c:showPercent val="0"/>
          <c:showBubbleSize val="0"/>
        </c:dLbls>
        <c:gapWidth val="182"/>
        <c:axId val="1284979680"/>
        <c:axId val="1213688848"/>
      </c:barChart>
      <c:catAx>
        <c:axId val="1284979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0" i="0" u="none" strike="noStrike" kern="1200" baseline="0">
                <a:solidFill>
                  <a:schemeClr val="tx1"/>
                </a:solidFill>
                <a:latin typeface="+mn-lt"/>
                <a:ea typeface="+mn-ea"/>
                <a:cs typeface="+mn-cs"/>
              </a:defRPr>
            </a:pPr>
            <a:endParaRPr lang="en-US"/>
          </a:p>
        </c:txPr>
        <c:crossAx val="1213688848"/>
        <c:crosses val="autoZero"/>
        <c:auto val="1"/>
        <c:lblAlgn val="ctr"/>
        <c:lblOffset val="100"/>
        <c:noMultiLvlLbl val="0"/>
      </c:catAx>
      <c:valAx>
        <c:axId val="1213688848"/>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979680"/>
        <c:crosses val="autoZero"/>
        <c:crossBetween val="between"/>
      </c:valAx>
      <c:spPr>
        <a:noFill/>
        <a:ln>
          <a:solidFill>
            <a:schemeClr val="accent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20 Of MS EXCEL(2).xlsx]Sheet4!PivotTable4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Sheet4!$K$1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FBC-4220-8150-E157B3D11F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BC-4220-8150-E157B3D11F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FBC-4220-8150-E157B3D11F30}"/>
              </c:ext>
            </c:extLst>
          </c:dPt>
          <c:cat>
            <c:strRef>
              <c:f>Sheet4!$J$2:$J$5</c:f>
              <c:strCache>
                <c:ptCount val="3"/>
                <c:pt idx="0">
                  <c:v>Card</c:v>
                </c:pt>
                <c:pt idx="1">
                  <c:v>Cash</c:v>
                </c:pt>
                <c:pt idx="2">
                  <c:v>UPI</c:v>
                </c:pt>
              </c:strCache>
            </c:strRef>
          </c:cat>
          <c:val>
            <c:numRef>
              <c:f>Sheet4!$K$2:$K$5</c:f>
              <c:numCache>
                <c:formatCode>General</c:formatCode>
                <c:ptCount val="3"/>
                <c:pt idx="0">
                  <c:v>4</c:v>
                </c:pt>
                <c:pt idx="1">
                  <c:v>3</c:v>
                </c:pt>
                <c:pt idx="2">
                  <c:v>8</c:v>
                </c:pt>
              </c:numCache>
            </c:numRef>
          </c:val>
          <c:extLst>
            <c:ext xmlns:c16="http://schemas.microsoft.com/office/drawing/2014/chart" uri="{C3380CC4-5D6E-409C-BE32-E72D297353CC}">
              <c16:uniqueId val="{00000000-17A6-4D21-B34D-C80EDCC98C8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20 Of MS EXCEL(2).xlsx]Sheet4!PivotTable5</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Sheet4!$N$1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DA9-4708-8DEE-15E7DAEBF9F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DA9-4708-8DEE-15E7DAEBF9F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DA9-4708-8DEE-15E7DAEBF9F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Sheet4!$M$2:$M$5</c:f>
              <c:strCache>
                <c:ptCount val="3"/>
                <c:pt idx="0">
                  <c:v>Cancelled</c:v>
                </c:pt>
                <c:pt idx="1">
                  <c:v>Delivered</c:v>
                </c:pt>
                <c:pt idx="2">
                  <c:v>Pending</c:v>
                </c:pt>
              </c:strCache>
            </c:strRef>
          </c:cat>
          <c:val>
            <c:numRef>
              <c:f>Sheet4!$N$2:$N$5</c:f>
              <c:numCache>
                <c:formatCode>General</c:formatCode>
                <c:ptCount val="3"/>
                <c:pt idx="0">
                  <c:v>1</c:v>
                </c:pt>
                <c:pt idx="1">
                  <c:v>12</c:v>
                </c:pt>
                <c:pt idx="2">
                  <c:v>2</c:v>
                </c:pt>
              </c:numCache>
            </c:numRef>
          </c:val>
          <c:extLst>
            <c:ext xmlns:c16="http://schemas.microsoft.com/office/drawing/2014/chart" uri="{C3380CC4-5D6E-409C-BE32-E72D297353CC}">
              <c16:uniqueId val="{00000000-4D91-4A24-92CE-BF88ADF61BF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20 Of MS EXCEL(2).xlsx]Sheet4!PivotTable4</c:name>
    <c:fmtId val="5"/>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4349606299212598"/>
          <c:y val="0.15258967629046369"/>
          <c:w val="0.44492016622922137"/>
          <c:h val="0.74153361038203558"/>
        </c:manualLayout>
      </c:layout>
      <c:doughnutChart>
        <c:varyColors val="1"/>
        <c:ser>
          <c:idx val="0"/>
          <c:order val="0"/>
          <c:tx>
            <c:strRef>
              <c:f>Sheet4!$K$1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124-43C4-9586-0A55083A327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124-43C4-9586-0A55083A327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124-43C4-9586-0A55083A327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Sheet4!$J$2:$J$5</c:f>
              <c:strCache>
                <c:ptCount val="3"/>
                <c:pt idx="0">
                  <c:v>Card</c:v>
                </c:pt>
                <c:pt idx="1">
                  <c:v>Cash</c:v>
                </c:pt>
                <c:pt idx="2">
                  <c:v>UPI</c:v>
                </c:pt>
              </c:strCache>
            </c:strRef>
          </c:cat>
          <c:val>
            <c:numRef>
              <c:f>Sheet4!$K$2:$K$5</c:f>
              <c:numCache>
                <c:formatCode>General</c:formatCode>
                <c:ptCount val="3"/>
                <c:pt idx="0">
                  <c:v>4</c:v>
                </c:pt>
                <c:pt idx="1">
                  <c:v>3</c:v>
                </c:pt>
                <c:pt idx="2">
                  <c:v>8</c:v>
                </c:pt>
              </c:numCache>
            </c:numRef>
          </c:val>
          <c:extLst>
            <c:ext xmlns:c16="http://schemas.microsoft.com/office/drawing/2014/chart" uri="{C3380CC4-5D6E-409C-BE32-E72D297353CC}">
              <c16:uniqueId val="{00000000-D7DA-4A4F-8A73-8724825B084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20 Of MS EXCEL(2).xlsx]Sheet4!PivotTable7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Sheet4!$AA$1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Sheet4!$Z$2:$Z$17</c:f>
              <c:strCache>
                <c:ptCount val="15"/>
                <c:pt idx="0">
                  <c:v>01-09-2026</c:v>
                </c:pt>
                <c:pt idx="1">
                  <c:v>02-09-2026</c:v>
                </c:pt>
                <c:pt idx="2">
                  <c:v>03-09-2026</c:v>
                </c:pt>
                <c:pt idx="3">
                  <c:v>04-09-2026</c:v>
                </c:pt>
                <c:pt idx="4">
                  <c:v>05-09-2026</c:v>
                </c:pt>
                <c:pt idx="5">
                  <c:v>06-09-2026</c:v>
                </c:pt>
                <c:pt idx="6">
                  <c:v>07-09-2026</c:v>
                </c:pt>
                <c:pt idx="7">
                  <c:v>08-09-2026</c:v>
                </c:pt>
                <c:pt idx="8">
                  <c:v>09-09-2026</c:v>
                </c:pt>
                <c:pt idx="9">
                  <c:v>10-09-2026</c:v>
                </c:pt>
                <c:pt idx="10">
                  <c:v>11-09-2026</c:v>
                </c:pt>
                <c:pt idx="11">
                  <c:v>12-09-2026</c:v>
                </c:pt>
                <c:pt idx="12">
                  <c:v>13-09-2026</c:v>
                </c:pt>
                <c:pt idx="13">
                  <c:v>14-09-2026</c:v>
                </c:pt>
                <c:pt idx="14">
                  <c:v>15-09-2026</c:v>
                </c:pt>
              </c:strCache>
            </c:strRef>
          </c:cat>
          <c:val>
            <c:numRef>
              <c:f>Sheet4!$AA$2:$AA$17</c:f>
              <c:numCache>
                <c:formatCode>"₹"\ #,##0</c:formatCode>
                <c:ptCount val="15"/>
                <c:pt idx="0">
                  <c:v>60000</c:v>
                </c:pt>
                <c:pt idx="1">
                  <c:v>4000</c:v>
                </c:pt>
                <c:pt idx="2">
                  <c:v>40000</c:v>
                </c:pt>
                <c:pt idx="3">
                  <c:v>5400</c:v>
                </c:pt>
                <c:pt idx="4">
                  <c:v>15000</c:v>
                </c:pt>
                <c:pt idx="5">
                  <c:v>120000</c:v>
                </c:pt>
                <c:pt idx="6">
                  <c:v>12000</c:v>
                </c:pt>
                <c:pt idx="7">
                  <c:v>30000</c:v>
                </c:pt>
                <c:pt idx="8">
                  <c:v>8000</c:v>
                </c:pt>
                <c:pt idx="9">
                  <c:v>20000</c:v>
                </c:pt>
                <c:pt idx="10">
                  <c:v>60000</c:v>
                </c:pt>
                <c:pt idx="11">
                  <c:v>7200</c:v>
                </c:pt>
                <c:pt idx="12">
                  <c:v>45000</c:v>
                </c:pt>
                <c:pt idx="13">
                  <c:v>60000</c:v>
                </c:pt>
                <c:pt idx="14">
                  <c:v>60000</c:v>
                </c:pt>
              </c:numCache>
            </c:numRef>
          </c:val>
          <c:smooth val="0"/>
          <c:extLst>
            <c:ext xmlns:c16="http://schemas.microsoft.com/office/drawing/2014/chart" uri="{C3380CC4-5D6E-409C-BE32-E72D297353CC}">
              <c16:uniqueId val="{00000000-71D7-4308-8E6E-652F8EB39393}"/>
            </c:ext>
          </c:extLst>
        </c:ser>
        <c:dLbls>
          <c:showLegendKey val="0"/>
          <c:showVal val="0"/>
          <c:showCatName val="0"/>
          <c:showSerName val="0"/>
          <c:showPercent val="0"/>
          <c:showBubbleSize val="0"/>
        </c:dLbls>
        <c:marker val="1"/>
        <c:smooth val="0"/>
        <c:axId val="448415199"/>
        <c:axId val="605944911"/>
      </c:lineChart>
      <c:catAx>
        <c:axId val="44841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944911"/>
        <c:crosses val="autoZero"/>
        <c:auto val="1"/>
        <c:lblAlgn val="ctr"/>
        <c:lblOffset val="100"/>
        <c:noMultiLvlLbl val="0"/>
      </c:catAx>
      <c:valAx>
        <c:axId val="6059449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41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20 Of MS EXCEL(2).xlsx]Sheet4!PivotTable1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a:t>
            </a:r>
            <a:r>
              <a:rPr lang="en-US" b="1" baseline="0"/>
              <a:t> CHART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c:f>
              <c:strCache>
                <c:ptCount val="1"/>
                <c:pt idx="0">
                  <c:v>Total</c:v>
                </c:pt>
              </c:strCache>
            </c:strRef>
          </c:tx>
          <c:spPr>
            <a:solidFill>
              <a:schemeClr val="accent1"/>
            </a:solidFill>
            <a:ln>
              <a:noFill/>
            </a:ln>
            <a:effectLst/>
          </c:spPr>
          <c:invertIfNegative val="0"/>
          <c:cat>
            <c:strRef>
              <c:f>Sheet4!$A$2:$A$8</c:f>
              <c:strCache>
                <c:ptCount val="6"/>
                <c:pt idx="0">
                  <c:v>Headphones</c:v>
                </c:pt>
                <c:pt idx="1">
                  <c:v>Keyboard</c:v>
                </c:pt>
                <c:pt idx="2">
                  <c:v>Laptop</c:v>
                </c:pt>
                <c:pt idx="3">
                  <c:v>Monitor</c:v>
                </c:pt>
                <c:pt idx="4">
                  <c:v>Mouse</c:v>
                </c:pt>
                <c:pt idx="5">
                  <c:v>Printer</c:v>
                </c:pt>
              </c:strCache>
            </c:strRef>
          </c:cat>
          <c:val>
            <c:numRef>
              <c:f>Sheet4!$B$2:$B$8</c:f>
              <c:numCache>
                <c:formatCode>"₹"\ #,##0</c:formatCode>
                <c:ptCount val="6"/>
                <c:pt idx="0">
                  <c:v>12000</c:v>
                </c:pt>
                <c:pt idx="1">
                  <c:v>12600</c:v>
                </c:pt>
                <c:pt idx="2">
                  <c:v>300000</c:v>
                </c:pt>
                <c:pt idx="3">
                  <c:v>120000</c:v>
                </c:pt>
                <c:pt idx="4">
                  <c:v>12000</c:v>
                </c:pt>
                <c:pt idx="5">
                  <c:v>90000</c:v>
                </c:pt>
              </c:numCache>
            </c:numRef>
          </c:val>
          <c:extLst>
            <c:ext xmlns:c16="http://schemas.microsoft.com/office/drawing/2014/chart" uri="{C3380CC4-5D6E-409C-BE32-E72D297353CC}">
              <c16:uniqueId val="{00000000-FDAD-405C-8E17-E7793542F737}"/>
            </c:ext>
          </c:extLst>
        </c:ser>
        <c:dLbls>
          <c:showLegendKey val="0"/>
          <c:showVal val="0"/>
          <c:showCatName val="0"/>
          <c:showSerName val="0"/>
          <c:showPercent val="0"/>
          <c:showBubbleSize val="0"/>
        </c:dLbls>
        <c:gapWidth val="219"/>
        <c:overlap val="-27"/>
        <c:axId val="1221582928"/>
        <c:axId val="1213803088"/>
      </c:barChart>
      <c:catAx>
        <c:axId val="1221582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803088"/>
        <c:crosses val="autoZero"/>
        <c:auto val="1"/>
        <c:lblAlgn val="ctr"/>
        <c:lblOffset val="100"/>
        <c:noMultiLvlLbl val="0"/>
      </c:catAx>
      <c:valAx>
        <c:axId val="1213803088"/>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58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20 Of MS EXCEL(2).xlsx]Sheet4!PivotTable3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a:t>
            </a:r>
            <a:r>
              <a:rPr lang="en-US" b="1" baseline="0"/>
              <a:t> CHART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Sheet4!$H$1</c:f>
              <c:strCache>
                <c:ptCount val="1"/>
                <c:pt idx="0">
                  <c:v>Total</c:v>
                </c:pt>
              </c:strCache>
            </c:strRef>
          </c:tx>
          <c:spPr>
            <a:solidFill>
              <a:schemeClr val="accent1"/>
            </a:solidFill>
            <a:ln>
              <a:noFill/>
            </a:ln>
            <a:effectLst/>
          </c:spPr>
          <c:invertIfNegative val="0"/>
          <c:cat>
            <c:strRef>
              <c:f>Sheet4!$G$2:$G$6</c:f>
              <c:strCache>
                <c:ptCount val="4"/>
                <c:pt idx="0">
                  <c:v>Bengaluru</c:v>
                </c:pt>
                <c:pt idx="1">
                  <c:v>Chennai</c:v>
                </c:pt>
                <c:pt idx="2">
                  <c:v>Hyderabad</c:v>
                </c:pt>
                <c:pt idx="3">
                  <c:v>Mumbai</c:v>
                </c:pt>
              </c:strCache>
            </c:strRef>
          </c:cat>
          <c:val>
            <c:numRef>
              <c:f>Sheet4!$H$2:$H$6</c:f>
              <c:numCache>
                <c:formatCode>"₹"\ #,##0</c:formatCode>
                <c:ptCount val="4"/>
                <c:pt idx="0">
                  <c:v>130000</c:v>
                </c:pt>
                <c:pt idx="1">
                  <c:v>99000</c:v>
                </c:pt>
                <c:pt idx="2">
                  <c:v>182400</c:v>
                </c:pt>
                <c:pt idx="3">
                  <c:v>135200</c:v>
                </c:pt>
              </c:numCache>
            </c:numRef>
          </c:val>
          <c:extLst>
            <c:ext xmlns:c16="http://schemas.microsoft.com/office/drawing/2014/chart" uri="{C3380CC4-5D6E-409C-BE32-E72D297353CC}">
              <c16:uniqueId val="{00000000-380A-4F9B-B971-18BEFF4B0F38}"/>
            </c:ext>
          </c:extLst>
        </c:ser>
        <c:dLbls>
          <c:showLegendKey val="0"/>
          <c:showVal val="0"/>
          <c:showCatName val="0"/>
          <c:showSerName val="0"/>
          <c:showPercent val="0"/>
          <c:showBubbleSize val="0"/>
        </c:dLbls>
        <c:gapWidth val="182"/>
        <c:axId val="1284979680"/>
        <c:axId val="1213688848"/>
      </c:barChart>
      <c:catAx>
        <c:axId val="1284979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688848"/>
        <c:crosses val="autoZero"/>
        <c:auto val="1"/>
        <c:lblAlgn val="ctr"/>
        <c:lblOffset val="100"/>
        <c:noMultiLvlLbl val="0"/>
      </c:catAx>
      <c:valAx>
        <c:axId val="1213688848"/>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97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20 Of MS EXCEL(2).xlsx]Sheet4!PivotTable4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Sheet4!$K$1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5A-44A0-A4F5-FAB8899A82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5A-44A0-A4F5-FAB8899A82F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5A-44A0-A4F5-FAB8899A82FE}"/>
              </c:ext>
            </c:extLst>
          </c:dPt>
          <c:cat>
            <c:strRef>
              <c:f>Sheet4!$J$2:$J$5</c:f>
              <c:strCache>
                <c:ptCount val="3"/>
                <c:pt idx="0">
                  <c:v>Card</c:v>
                </c:pt>
                <c:pt idx="1">
                  <c:v>Cash</c:v>
                </c:pt>
                <c:pt idx="2">
                  <c:v>UPI</c:v>
                </c:pt>
              </c:strCache>
            </c:strRef>
          </c:cat>
          <c:val>
            <c:numRef>
              <c:f>Sheet4!$K$2:$K$5</c:f>
              <c:numCache>
                <c:formatCode>General</c:formatCode>
                <c:ptCount val="3"/>
                <c:pt idx="0">
                  <c:v>4</c:v>
                </c:pt>
                <c:pt idx="1">
                  <c:v>3</c:v>
                </c:pt>
                <c:pt idx="2">
                  <c:v>8</c:v>
                </c:pt>
              </c:numCache>
            </c:numRef>
          </c:val>
          <c:extLst>
            <c:ext xmlns:c16="http://schemas.microsoft.com/office/drawing/2014/chart" uri="{C3380CC4-5D6E-409C-BE32-E72D297353CC}">
              <c16:uniqueId val="{00000006-C25A-44A0-A4F5-FAB8899A82F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20 Of MS EXCEL(2).xlsx]Sheet4!PivotTable5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Sheet4!$N$1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EB-490F-8096-0658F0D0E9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EB-490F-8096-0658F0D0E9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EB-490F-8096-0658F0D0E9A1}"/>
              </c:ext>
            </c:extLst>
          </c:dPt>
          <c:cat>
            <c:strRef>
              <c:f>Sheet4!$M$2:$M$5</c:f>
              <c:strCache>
                <c:ptCount val="3"/>
                <c:pt idx="0">
                  <c:v>Cancelled</c:v>
                </c:pt>
                <c:pt idx="1">
                  <c:v>Delivered</c:v>
                </c:pt>
                <c:pt idx="2">
                  <c:v>Pending</c:v>
                </c:pt>
              </c:strCache>
            </c:strRef>
          </c:cat>
          <c:val>
            <c:numRef>
              <c:f>Sheet4!$N$2:$N$5</c:f>
              <c:numCache>
                <c:formatCode>General</c:formatCode>
                <c:ptCount val="3"/>
                <c:pt idx="0">
                  <c:v>1</c:v>
                </c:pt>
                <c:pt idx="1">
                  <c:v>12</c:v>
                </c:pt>
                <c:pt idx="2">
                  <c:v>2</c:v>
                </c:pt>
              </c:numCache>
            </c:numRef>
          </c:val>
          <c:extLst>
            <c:ext xmlns:c16="http://schemas.microsoft.com/office/drawing/2014/chart" uri="{C3380CC4-5D6E-409C-BE32-E72D297353CC}">
              <c16:uniqueId val="{00000006-0BEB-490F-8096-0658F0D0E9A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20 Of MS EXCEL(2).xlsx]Sheet4!PivotTable1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tx2"/>
                </a:solidFill>
              </a:rPr>
              <a:t>SALES</a:t>
            </a:r>
            <a:r>
              <a:rPr lang="en-IN" sz="2000" b="1" baseline="0">
                <a:solidFill>
                  <a:schemeClr val="tx2"/>
                </a:solidFill>
              </a:rPr>
              <a:t> BY PRODUCT</a:t>
            </a:r>
            <a:endParaRPr lang="en-IN" sz="2000" b="1">
              <a:solidFill>
                <a:schemeClr val="tx2"/>
              </a:solidFill>
            </a:endParaRPr>
          </a:p>
        </c:rich>
      </c:tx>
      <c:layout>
        <c:manualLayout>
          <c:xMode val="edge"/>
          <c:yMode val="edge"/>
          <c:x val="3.162928778984362E-2"/>
          <c:y val="3.818292567798745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16246042594407"/>
          <c:y val="0.12978240766637189"/>
          <c:w val="0.765695857135265"/>
          <c:h val="0.78572403546021252"/>
        </c:manualLayout>
      </c:layout>
      <c:barChart>
        <c:barDir val="col"/>
        <c:grouping val="clustered"/>
        <c:varyColors val="0"/>
        <c:ser>
          <c:idx val="0"/>
          <c:order val="0"/>
          <c:tx>
            <c:strRef>
              <c:f>Sheet4!$B$1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Sheet4!$A$2:$A$8</c:f>
              <c:strCache>
                <c:ptCount val="6"/>
                <c:pt idx="0">
                  <c:v>Headphones</c:v>
                </c:pt>
                <c:pt idx="1">
                  <c:v>Keyboard</c:v>
                </c:pt>
                <c:pt idx="2">
                  <c:v>Laptop</c:v>
                </c:pt>
                <c:pt idx="3">
                  <c:v>Monitor</c:v>
                </c:pt>
                <c:pt idx="4">
                  <c:v>Mouse</c:v>
                </c:pt>
                <c:pt idx="5">
                  <c:v>Printer</c:v>
                </c:pt>
              </c:strCache>
            </c:strRef>
          </c:cat>
          <c:val>
            <c:numRef>
              <c:f>Sheet4!$B$2:$B$8</c:f>
              <c:numCache>
                <c:formatCode>"₹"\ #,##0</c:formatCode>
                <c:ptCount val="6"/>
                <c:pt idx="0">
                  <c:v>12000</c:v>
                </c:pt>
                <c:pt idx="1">
                  <c:v>12600</c:v>
                </c:pt>
                <c:pt idx="2">
                  <c:v>300000</c:v>
                </c:pt>
                <c:pt idx="3">
                  <c:v>120000</c:v>
                </c:pt>
                <c:pt idx="4">
                  <c:v>12000</c:v>
                </c:pt>
                <c:pt idx="5">
                  <c:v>90000</c:v>
                </c:pt>
              </c:numCache>
            </c:numRef>
          </c:val>
          <c:extLst>
            <c:ext xmlns:c16="http://schemas.microsoft.com/office/drawing/2014/chart" uri="{C3380CC4-5D6E-409C-BE32-E72D297353CC}">
              <c16:uniqueId val="{00000000-C637-4535-BE9B-C7CC015E6B66}"/>
            </c:ext>
          </c:extLst>
        </c:ser>
        <c:dLbls>
          <c:showLegendKey val="0"/>
          <c:showVal val="0"/>
          <c:showCatName val="0"/>
          <c:showSerName val="0"/>
          <c:showPercent val="0"/>
          <c:showBubbleSize val="0"/>
        </c:dLbls>
        <c:gapWidth val="219"/>
        <c:overlap val="-27"/>
        <c:axId val="1221582928"/>
        <c:axId val="1213803088"/>
      </c:barChart>
      <c:catAx>
        <c:axId val="122158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213803088"/>
        <c:crosses val="autoZero"/>
        <c:auto val="1"/>
        <c:lblAlgn val="ctr"/>
        <c:lblOffset val="100"/>
        <c:noMultiLvlLbl val="0"/>
      </c:catAx>
      <c:valAx>
        <c:axId val="12138030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221582928"/>
        <c:crosses val="autoZero"/>
        <c:crossBetween val="between"/>
      </c:valAx>
      <c:spPr>
        <a:noFill/>
        <a:ln>
          <a:solidFill>
            <a:schemeClr val="tx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20 Of MS EXCEL(2).xlsx]Sheet4!PivotTable3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accent1"/>
                </a:solidFill>
              </a:rPr>
              <a:t>SALES</a:t>
            </a:r>
            <a:r>
              <a:rPr lang="en-IN" sz="2000" b="1" baseline="0">
                <a:solidFill>
                  <a:schemeClr val="accent1"/>
                </a:solidFill>
              </a:rPr>
              <a:t> BY REGION</a:t>
            </a:r>
            <a:endParaRPr lang="en-IN" sz="2000" b="1">
              <a:solidFill>
                <a:schemeClr val="accent1"/>
              </a:solidFill>
            </a:endParaRPr>
          </a:p>
        </c:rich>
      </c:tx>
      <c:layout>
        <c:manualLayout>
          <c:xMode val="edge"/>
          <c:yMode val="edge"/>
          <c:x val="1.2386302285011124E-2"/>
          <c:y val="2.15125037317316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53503863027278"/>
          <c:y val="0.13860995425840625"/>
          <c:w val="0.72672594050743655"/>
          <c:h val="0.72125801983085447"/>
        </c:manualLayout>
      </c:layout>
      <c:barChart>
        <c:barDir val="bar"/>
        <c:grouping val="clustered"/>
        <c:varyColors val="0"/>
        <c:ser>
          <c:idx val="0"/>
          <c:order val="0"/>
          <c:tx>
            <c:strRef>
              <c:f>Sheet4!$H$1</c:f>
              <c:strCache>
                <c:ptCount val="1"/>
                <c:pt idx="0">
                  <c:v>Total</c:v>
                </c:pt>
              </c:strCache>
            </c:strRef>
          </c:tx>
          <c:spPr>
            <a:solidFill>
              <a:schemeClr val="accent1"/>
            </a:solidFill>
            <a:ln>
              <a:noFill/>
            </a:ln>
            <a:effectLst/>
          </c:spPr>
          <c:invertIfNegative val="0"/>
          <c:cat>
            <c:strRef>
              <c:f>Sheet4!$G$2:$G$6</c:f>
              <c:strCache>
                <c:ptCount val="4"/>
                <c:pt idx="0">
                  <c:v>Bengaluru</c:v>
                </c:pt>
                <c:pt idx="1">
                  <c:v>Chennai</c:v>
                </c:pt>
                <c:pt idx="2">
                  <c:v>Hyderabad</c:v>
                </c:pt>
                <c:pt idx="3">
                  <c:v>Mumbai</c:v>
                </c:pt>
              </c:strCache>
            </c:strRef>
          </c:cat>
          <c:val>
            <c:numRef>
              <c:f>Sheet4!$H$2:$H$6</c:f>
              <c:numCache>
                <c:formatCode>"₹"\ #,##0</c:formatCode>
                <c:ptCount val="4"/>
                <c:pt idx="0">
                  <c:v>130000</c:v>
                </c:pt>
                <c:pt idx="1">
                  <c:v>99000</c:v>
                </c:pt>
                <c:pt idx="2">
                  <c:v>182400</c:v>
                </c:pt>
                <c:pt idx="3">
                  <c:v>135200</c:v>
                </c:pt>
              </c:numCache>
            </c:numRef>
          </c:val>
          <c:extLst>
            <c:ext xmlns:c16="http://schemas.microsoft.com/office/drawing/2014/chart" uri="{C3380CC4-5D6E-409C-BE32-E72D297353CC}">
              <c16:uniqueId val="{00000000-FCAA-4D3D-8B3E-B67C89F9B2F9}"/>
            </c:ext>
          </c:extLst>
        </c:ser>
        <c:dLbls>
          <c:showLegendKey val="0"/>
          <c:showVal val="0"/>
          <c:showCatName val="0"/>
          <c:showSerName val="0"/>
          <c:showPercent val="0"/>
          <c:showBubbleSize val="0"/>
        </c:dLbls>
        <c:gapWidth val="182"/>
        <c:axId val="1284979680"/>
        <c:axId val="1213688848"/>
      </c:barChart>
      <c:catAx>
        <c:axId val="1284979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213688848"/>
        <c:crosses val="autoZero"/>
        <c:auto val="1"/>
        <c:lblAlgn val="ctr"/>
        <c:lblOffset val="100"/>
        <c:noMultiLvlLbl val="0"/>
      </c:catAx>
      <c:valAx>
        <c:axId val="1213688848"/>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84979680"/>
        <c:crosses val="autoZero"/>
        <c:crossBetween val="between"/>
      </c:valAx>
      <c:spPr>
        <a:noFill/>
        <a:ln>
          <a:solidFill>
            <a:schemeClr val="accent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20 Of MS EXCEL(2).xlsx]Sheet4!PivotTable4</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2000" b="1">
                <a:solidFill>
                  <a:schemeClr val="accent1"/>
                </a:solidFill>
              </a:rPr>
              <a:t>PAYMENT</a:t>
            </a:r>
            <a:r>
              <a:rPr lang="en-IN" sz="2000" b="1" baseline="0">
                <a:solidFill>
                  <a:schemeClr val="accent1"/>
                </a:solidFill>
              </a:rPr>
              <a:t> METHOD</a:t>
            </a:r>
            <a:endParaRPr lang="en-IN" sz="2000" b="1">
              <a:solidFill>
                <a:schemeClr val="accent1"/>
              </a:solidFill>
            </a:endParaRPr>
          </a:p>
        </c:rich>
      </c:tx>
      <c:layout>
        <c:manualLayout>
          <c:xMode val="edge"/>
          <c:yMode val="edge"/>
          <c:x val="6.8530085055157576E-3"/>
          <c:y val="7.4369230345808137E-3"/>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9650356205474312"/>
          <c:y val="0.16263115994625504"/>
          <c:w val="0.59529606496556342"/>
          <c:h val="0.70657649446285931"/>
        </c:manualLayout>
      </c:layout>
      <c:doughnutChart>
        <c:varyColors val="1"/>
        <c:ser>
          <c:idx val="0"/>
          <c:order val="0"/>
          <c:tx>
            <c:strRef>
              <c:f>Sheet4!$K$1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51B-474E-AC49-81504EC4E1A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51B-474E-AC49-81504EC4E1A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51B-474E-AC49-81504EC4E1AA}"/>
              </c:ext>
            </c:extLst>
          </c:dPt>
          <c:dLbls>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Sheet4!$J$2:$J$5</c:f>
              <c:strCache>
                <c:ptCount val="3"/>
                <c:pt idx="0">
                  <c:v>Card</c:v>
                </c:pt>
                <c:pt idx="1">
                  <c:v>Cash</c:v>
                </c:pt>
                <c:pt idx="2">
                  <c:v>UPI</c:v>
                </c:pt>
              </c:strCache>
            </c:strRef>
          </c:cat>
          <c:val>
            <c:numRef>
              <c:f>Sheet4!$K$2:$K$5</c:f>
              <c:numCache>
                <c:formatCode>General</c:formatCode>
                <c:ptCount val="3"/>
                <c:pt idx="0">
                  <c:v>4</c:v>
                </c:pt>
                <c:pt idx="1">
                  <c:v>3</c:v>
                </c:pt>
                <c:pt idx="2">
                  <c:v>8</c:v>
                </c:pt>
              </c:numCache>
            </c:numRef>
          </c:val>
          <c:extLst>
            <c:ext xmlns:c16="http://schemas.microsoft.com/office/drawing/2014/chart" uri="{C3380CC4-5D6E-409C-BE32-E72D297353CC}">
              <c16:uniqueId val="{00000006-B51B-474E-AC49-81504EC4E1A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3548980719515309"/>
          <c:y val="0.34654773055266586"/>
          <c:w val="0.14571320032364377"/>
          <c:h val="0.48200689174387357"/>
        </c:manualLayout>
      </c:layout>
      <c:overlay val="0"/>
      <c:spPr>
        <a:noFill/>
        <a:ln>
          <a:noFill/>
        </a:ln>
        <a:effectLst/>
      </c:spPr>
      <c:txPr>
        <a:bodyPr rot="0" spcFirstLastPara="1" vertOverflow="ellipsis" vert="horz" wrap="square" anchor="ctr" anchorCtr="1"/>
        <a:lstStyle/>
        <a:p>
          <a:pPr>
            <a:defRPr sz="11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20 Of MS EXCEL(2).xlsx]Sheet4!PivotTable5</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2000" b="1">
                <a:solidFill>
                  <a:schemeClr val="accent1"/>
                </a:solidFill>
              </a:rPr>
              <a:t>ORDER</a:t>
            </a:r>
            <a:r>
              <a:rPr lang="en-US" sz="2000" b="1" baseline="0">
                <a:solidFill>
                  <a:schemeClr val="accent1"/>
                </a:solidFill>
              </a:rPr>
              <a:t> STATUS</a:t>
            </a:r>
            <a:endParaRPr lang="en-US" sz="2000" b="1">
              <a:solidFill>
                <a:schemeClr val="accent1"/>
              </a:solidFill>
            </a:endParaRPr>
          </a:p>
        </c:rich>
      </c:tx>
      <c:layout>
        <c:manualLayout>
          <c:xMode val="edge"/>
          <c:yMode val="edge"/>
          <c:x val="1.9011785016290032E-2"/>
          <c:y val="1.1067194135142349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Sheet4!$N$1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D1F-44F4-B16E-38DCB84BA91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D1F-44F4-B16E-38DCB84BA91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D1F-44F4-B16E-38DCB84BA91A}"/>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Sheet4!$M$2:$M$5</c:f>
              <c:strCache>
                <c:ptCount val="3"/>
                <c:pt idx="0">
                  <c:v>Cancelled</c:v>
                </c:pt>
                <c:pt idx="1">
                  <c:v>Delivered</c:v>
                </c:pt>
                <c:pt idx="2">
                  <c:v>Pending</c:v>
                </c:pt>
              </c:strCache>
            </c:strRef>
          </c:cat>
          <c:val>
            <c:numRef>
              <c:f>Sheet4!$N$2:$N$5</c:f>
              <c:numCache>
                <c:formatCode>General</c:formatCode>
                <c:ptCount val="3"/>
                <c:pt idx="0">
                  <c:v>1</c:v>
                </c:pt>
                <c:pt idx="1">
                  <c:v>12</c:v>
                </c:pt>
                <c:pt idx="2">
                  <c:v>2</c:v>
                </c:pt>
              </c:numCache>
            </c:numRef>
          </c:val>
          <c:extLst>
            <c:ext xmlns:c16="http://schemas.microsoft.com/office/drawing/2014/chart" uri="{C3380CC4-5D6E-409C-BE32-E72D297353CC}">
              <c16:uniqueId val="{00000006-0D1F-44F4-B16E-38DCB84BA91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sz="125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en-US"/>
          </a:p>
        </c:txPr>
      </c:legendEntry>
      <c:legendEntry>
        <c:idx val="2"/>
        <c:txPr>
          <a:bodyPr rot="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en-US"/>
          </a:p>
        </c:txPr>
      </c:legendEntry>
      <c:layout>
        <c:manualLayout>
          <c:xMode val="edge"/>
          <c:yMode val="edge"/>
          <c:x val="0.75734401642039029"/>
          <c:y val="0.34407180372316676"/>
          <c:w val="0.22286800065025078"/>
          <c:h val="0.551977614639138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20 Of MS EXCEL(2).xlsx]Sheet4!PivotTable7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60836325356861E-2"/>
          <c:y val="0.1292003888975865"/>
          <c:w val="0.88308452543109572"/>
          <c:h val="0.61292749805437741"/>
        </c:manualLayout>
      </c:layout>
      <c:lineChart>
        <c:grouping val="standard"/>
        <c:varyColors val="0"/>
        <c:ser>
          <c:idx val="0"/>
          <c:order val="0"/>
          <c:tx>
            <c:strRef>
              <c:f>Sheet4!$AA$1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Sheet4!$Z$2:$Z$17</c:f>
              <c:strCache>
                <c:ptCount val="15"/>
                <c:pt idx="0">
                  <c:v>01-09-2026</c:v>
                </c:pt>
                <c:pt idx="1">
                  <c:v>02-09-2026</c:v>
                </c:pt>
                <c:pt idx="2">
                  <c:v>03-09-2026</c:v>
                </c:pt>
                <c:pt idx="3">
                  <c:v>04-09-2026</c:v>
                </c:pt>
                <c:pt idx="4">
                  <c:v>05-09-2026</c:v>
                </c:pt>
                <c:pt idx="5">
                  <c:v>06-09-2026</c:v>
                </c:pt>
                <c:pt idx="6">
                  <c:v>07-09-2026</c:v>
                </c:pt>
                <c:pt idx="7">
                  <c:v>08-09-2026</c:v>
                </c:pt>
                <c:pt idx="8">
                  <c:v>09-09-2026</c:v>
                </c:pt>
                <c:pt idx="9">
                  <c:v>10-09-2026</c:v>
                </c:pt>
                <c:pt idx="10">
                  <c:v>11-09-2026</c:v>
                </c:pt>
                <c:pt idx="11">
                  <c:v>12-09-2026</c:v>
                </c:pt>
                <c:pt idx="12">
                  <c:v>13-09-2026</c:v>
                </c:pt>
                <c:pt idx="13">
                  <c:v>14-09-2026</c:v>
                </c:pt>
                <c:pt idx="14">
                  <c:v>15-09-2026</c:v>
                </c:pt>
              </c:strCache>
            </c:strRef>
          </c:cat>
          <c:val>
            <c:numRef>
              <c:f>Sheet4!$AA$2:$AA$17</c:f>
              <c:numCache>
                <c:formatCode>"₹"\ #,##0</c:formatCode>
                <c:ptCount val="15"/>
                <c:pt idx="0">
                  <c:v>60000</c:v>
                </c:pt>
                <c:pt idx="1">
                  <c:v>4000</c:v>
                </c:pt>
                <c:pt idx="2">
                  <c:v>40000</c:v>
                </c:pt>
                <c:pt idx="3">
                  <c:v>5400</c:v>
                </c:pt>
                <c:pt idx="4">
                  <c:v>15000</c:v>
                </c:pt>
                <c:pt idx="5">
                  <c:v>120000</c:v>
                </c:pt>
                <c:pt idx="6">
                  <c:v>12000</c:v>
                </c:pt>
                <c:pt idx="7">
                  <c:v>30000</c:v>
                </c:pt>
                <c:pt idx="8">
                  <c:v>8000</c:v>
                </c:pt>
                <c:pt idx="9">
                  <c:v>20000</c:v>
                </c:pt>
                <c:pt idx="10">
                  <c:v>60000</c:v>
                </c:pt>
                <c:pt idx="11">
                  <c:v>7200</c:v>
                </c:pt>
                <c:pt idx="12">
                  <c:v>45000</c:v>
                </c:pt>
                <c:pt idx="13">
                  <c:v>60000</c:v>
                </c:pt>
                <c:pt idx="14">
                  <c:v>60000</c:v>
                </c:pt>
              </c:numCache>
            </c:numRef>
          </c:val>
          <c:smooth val="0"/>
          <c:extLst>
            <c:ext xmlns:c16="http://schemas.microsoft.com/office/drawing/2014/chart" uri="{C3380CC4-5D6E-409C-BE32-E72D297353CC}">
              <c16:uniqueId val="{00000000-0CDC-4C43-AF01-5246041A9DE7}"/>
            </c:ext>
          </c:extLst>
        </c:ser>
        <c:dLbls>
          <c:dLblPos val="t"/>
          <c:showLegendKey val="0"/>
          <c:showVal val="1"/>
          <c:showCatName val="0"/>
          <c:showSerName val="0"/>
          <c:showPercent val="0"/>
          <c:showBubbleSize val="0"/>
        </c:dLbls>
        <c:marker val="1"/>
        <c:smooth val="0"/>
        <c:axId val="448415199"/>
        <c:axId val="605944911"/>
      </c:lineChart>
      <c:catAx>
        <c:axId val="44841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605944911"/>
        <c:crosses val="autoZero"/>
        <c:auto val="1"/>
        <c:lblAlgn val="ctr"/>
        <c:lblOffset val="100"/>
        <c:noMultiLvlLbl val="0"/>
      </c:catAx>
      <c:valAx>
        <c:axId val="6059449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4484151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solidFill>
          <a:schemeClr val="accent1">
            <a:lumMod val="20000"/>
            <a:lumOff val="80000"/>
          </a:schemeClr>
        </a:solid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image" Target="../media/image1.png"/><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464820</xdr:colOff>
      <xdr:row>3</xdr:row>
      <xdr:rowOff>0</xdr:rowOff>
    </xdr:from>
    <xdr:to>
      <xdr:col>10</xdr:col>
      <xdr:colOff>160020</xdr:colOff>
      <xdr:row>18</xdr:row>
      <xdr:rowOff>0</xdr:rowOff>
    </xdr:to>
    <xdr:graphicFrame macro="">
      <xdr:nvGraphicFramePr>
        <xdr:cNvPr id="3" name="Chart 2">
          <a:extLst>
            <a:ext uri="{FF2B5EF4-FFF2-40B4-BE49-F238E27FC236}">
              <a16:creationId xmlns:a16="http://schemas.microsoft.com/office/drawing/2014/main" id="{93DD87B3-8AF5-78AC-2683-7F0494D76F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160421</xdr:colOff>
      <xdr:row>18</xdr:row>
      <xdr:rowOff>82216</xdr:rowOff>
    </xdr:from>
    <xdr:to>
      <xdr:col>13</xdr:col>
      <xdr:colOff>80211</xdr:colOff>
      <xdr:row>33</xdr:row>
      <xdr:rowOff>118311</xdr:rowOff>
    </xdr:to>
    <xdr:graphicFrame macro="">
      <xdr:nvGraphicFramePr>
        <xdr:cNvPr id="2" name="Chart 1">
          <a:extLst>
            <a:ext uri="{FF2B5EF4-FFF2-40B4-BE49-F238E27FC236}">
              <a16:creationId xmlns:a16="http://schemas.microsoft.com/office/drawing/2014/main" id="{4E8FA12C-D032-063F-13B9-6521454E3D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10</xdr:col>
      <xdr:colOff>213360</xdr:colOff>
      <xdr:row>6</xdr:row>
      <xdr:rowOff>38100</xdr:rowOff>
    </xdr:from>
    <xdr:ext cx="1653540" cy="876300"/>
    <xdr:sp macro="" textlink="">
      <xdr:nvSpPr>
        <xdr:cNvPr id="2" name="TextBox 1">
          <a:extLst>
            <a:ext uri="{FF2B5EF4-FFF2-40B4-BE49-F238E27FC236}">
              <a16:creationId xmlns:a16="http://schemas.microsoft.com/office/drawing/2014/main" id="{721D2E44-989E-5DA8-BF9C-687337CFFD57}"/>
            </a:ext>
          </a:extLst>
        </xdr:cNvPr>
        <xdr:cNvSpPr txBox="1"/>
      </xdr:nvSpPr>
      <xdr:spPr>
        <a:xfrm>
          <a:off x="9136380" y="1402080"/>
          <a:ext cx="165354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4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0</xdr:colOff>
      <xdr:row>10</xdr:row>
      <xdr:rowOff>129540</xdr:rowOff>
    </xdr:from>
    <xdr:to>
      <xdr:col>5</xdr:col>
      <xdr:colOff>487680</xdr:colOff>
      <xdr:row>25</xdr:row>
      <xdr:rowOff>129540</xdr:rowOff>
    </xdr:to>
    <xdr:graphicFrame macro="">
      <xdr:nvGraphicFramePr>
        <xdr:cNvPr id="2" name="Chart 1">
          <a:extLst>
            <a:ext uri="{FF2B5EF4-FFF2-40B4-BE49-F238E27FC236}">
              <a16:creationId xmlns:a16="http://schemas.microsoft.com/office/drawing/2014/main" id="{4F369EA9-8F37-2982-A6F9-ED016214A8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13</xdr:row>
      <xdr:rowOff>0</xdr:rowOff>
    </xdr:from>
    <xdr:to>
      <xdr:col>10</xdr:col>
      <xdr:colOff>0</xdr:colOff>
      <xdr:row>26</xdr:row>
      <xdr:rowOff>144780</xdr:rowOff>
    </xdr:to>
    <xdr:graphicFrame macro="">
      <xdr:nvGraphicFramePr>
        <xdr:cNvPr id="3" name="Chart 2">
          <a:extLst>
            <a:ext uri="{FF2B5EF4-FFF2-40B4-BE49-F238E27FC236}">
              <a16:creationId xmlns:a16="http://schemas.microsoft.com/office/drawing/2014/main" id="{B4EA5678-C2E1-8250-744A-DD0192EDEF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362857</xdr:colOff>
      <xdr:row>11</xdr:row>
      <xdr:rowOff>36286</xdr:rowOff>
    </xdr:from>
    <xdr:to>
      <xdr:col>16</xdr:col>
      <xdr:colOff>179977</xdr:colOff>
      <xdr:row>26</xdr:row>
      <xdr:rowOff>36286</xdr:rowOff>
    </xdr:to>
    <xdr:graphicFrame macro="">
      <xdr:nvGraphicFramePr>
        <xdr:cNvPr id="4" name="Chart 3">
          <a:extLst>
            <a:ext uri="{FF2B5EF4-FFF2-40B4-BE49-F238E27FC236}">
              <a16:creationId xmlns:a16="http://schemas.microsoft.com/office/drawing/2014/main" id="{AF19AB47-8AFB-AF83-4337-A60FC8A6FD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213360</xdr:colOff>
      <xdr:row>16</xdr:row>
      <xdr:rowOff>0</xdr:rowOff>
    </xdr:from>
    <xdr:to>
      <xdr:col>17</xdr:col>
      <xdr:colOff>457200</xdr:colOff>
      <xdr:row>31</xdr:row>
      <xdr:rowOff>0</xdr:rowOff>
    </xdr:to>
    <xdr:graphicFrame macro="">
      <xdr:nvGraphicFramePr>
        <xdr:cNvPr id="5" name="Chart 4">
          <a:extLst>
            <a:ext uri="{FF2B5EF4-FFF2-40B4-BE49-F238E27FC236}">
              <a16:creationId xmlns:a16="http://schemas.microsoft.com/office/drawing/2014/main" id="{A7CD41F0-8710-9A17-B877-DBD9D0829A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106680</xdr:colOff>
      <xdr:row>5</xdr:row>
      <xdr:rowOff>80010</xdr:rowOff>
    </xdr:from>
    <xdr:to>
      <xdr:col>23</xdr:col>
      <xdr:colOff>502920</xdr:colOff>
      <xdr:row>20</xdr:row>
      <xdr:rowOff>80010</xdr:rowOff>
    </xdr:to>
    <xdr:graphicFrame macro="">
      <xdr:nvGraphicFramePr>
        <xdr:cNvPr id="6" name="Chart 5">
          <a:extLst>
            <a:ext uri="{FF2B5EF4-FFF2-40B4-BE49-F238E27FC236}">
              <a16:creationId xmlns:a16="http://schemas.microsoft.com/office/drawing/2014/main" id="{CC8808CB-4048-B87F-6D5D-EF5E185E76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320040</xdr:colOff>
      <xdr:row>28</xdr:row>
      <xdr:rowOff>144780</xdr:rowOff>
    </xdr:from>
    <xdr:to>
      <xdr:col>7</xdr:col>
      <xdr:colOff>649513</xdr:colOff>
      <xdr:row>38</xdr:row>
      <xdr:rowOff>68580</xdr:rowOff>
    </xdr:to>
    <mc:AlternateContent xmlns:mc="http://schemas.openxmlformats.org/markup-compatibility/2006" xmlns:a14="http://schemas.microsoft.com/office/drawing/2010/main">
      <mc:Choice Requires="a14">
        <xdr:graphicFrame macro="">
          <xdr:nvGraphicFramePr>
            <xdr:cNvPr id="9" name="Region 2">
              <a:extLst>
                <a:ext uri="{FF2B5EF4-FFF2-40B4-BE49-F238E27FC236}">
                  <a16:creationId xmlns:a16="http://schemas.microsoft.com/office/drawing/2014/main" id="{65D70877-36E3-05E5-F7E1-6D94B87A4A1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474754" y="5224780"/>
              <a:ext cx="1817188" cy="17380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426720</xdr:colOff>
      <xdr:row>25</xdr:row>
      <xdr:rowOff>83820</xdr:rowOff>
    </xdr:from>
    <xdr:to>
      <xdr:col>3</xdr:col>
      <xdr:colOff>843644</xdr:colOff>
      <xdr:row>39</xdr:row>
      <xdr:rowOff>104775</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3C5A5465-ABBB-A490-A2C4-68F994078DC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306649" y="4619534"/>
              <a:ext cx="1822995" cy="2560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563880</xdr:colOff>
      <xdr:row>30</xdr:row>
      <xdr:rowOff>0</xdr:rowOff>
    </xdr:from>
    <xdr:to>
      <xdr:col>10</xdr:col>
      <xdr:colOff>893353</xdr:colOff>
      <xdr:row>40</xdr:row>
      <xdr:rowOff>51435</xdr:rowOff>
    </xdr:to>
    <mc:AlternateContent xmlns:mc="http://schemas.openxmlformats.org/markup-compatibility/2006" xmlns:a14="http://schemas.microsoft.com/office/drawing/2010/main">
      <mc:Choice Requires="a14">
        <xdr:graphicFrame macro="">
          <xdr:nvGraphicFramePr>
            <xdr:cNvPr id="11" name="Payment Method">
              <a:extLst>
                <a:ext uri="{FF2B5EF4-FFF2-40B4-BE49-F238E27FC236}">
                  <a16:creationId xmlns:a16="http://schemas.microsoft.com/office/drawing/2014/main" id="{541B3C50-828D-7CEF-D4C6-1B0A2A723BBA}"/>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7004594" y="5442857"/>
              <a:ext cx="1817188" cy="18657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33</xdr:row>
      <xdr:rowOff>0</xdr:rowOff>
    </xdr:from>
    <xdr:to>
      <xdr:col>13</xdr:col>
      <xdr:colOff>939076</xdr:colOff>
      <xdr:row>41</xdr:row>
      <xdr:rowOff>137160</xdr:rowOff>
    </xdr:to>
    <mc:AlternateContent xmlns:mc="http://schemas.openxmlformats.org/markup-compatibility/2006" xmlns:a14="http://schemas.microsoft.com/office/drawing/2010/main">
      <mc:Choice Requires="a14">
        <xdr:graphicFrame macro="">
          <xdr:nvGraphicFramePr>
            <xdr:cNvPr id="12" name="Order Status">
              <a:extLst>
                <a:ext uri="{FF2B5EF4-FFF2-40B4-BE49-F238E27FC236}">
                  <a16:creationId xmlns:a16="http://schemas.microsoft.com/office/drawing/2014/main" id="{B5527E21-FC4A-22FF-6338-641C10F2B4FA}"/>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9606643" y="5987143"/>
              <a:ext cx="1819004" cy="1588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0</xdr:colOff>
      <xdr:row>2</xdr:row>
      <xdr:rowOff>168728</xdr:rowOff>
    </xdr:from>
    <xdr:to>
      <xdr:col>35</xdr:col>
      <xdr:colOff>317500</xdr:colOff>
      <xdr:row>18</xdr:row>
      <xdr:rowOff>9071</xdr:rowOff>
    </xdr:to>
    <xdr:graphicFrame macro="">
      <xdr:nvGraphicFramePr>
        <xdr:cNvPr id="14" name="Chart 13">
          <a:extLst>
            <a:ext uri="{FF2B5EF4-FFF2-40B4-BE49-F238E27FC236}">
              <a16:creationId xmlns:a16="http://schemas.microsoft.com/office/drawing/2014/main" id="{4D93DA8A-D46B-7278-8DA3-748FCEBCD3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624840</xdr:colOff>
      <xdr:row>9</xdr:row>
      <xdr:rowOff>35923</xdr:rowOff>
    </xdr:from>
    <xdr:to>
      <xdr:col>11</xdr:col>
      <xdr:colOff>503283</xdr:colOff>
      <xdr:row>23</xdr:row>
      <xdr:rowOff>77198</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BA4EA80D-9529-66D7-FA35-1E602FB223E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673340" y="16687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9</xdr:row>
      <xdr:rowOff>0</xdr:rowOff>
    </xdr:from>
    <xdr:to>
      <xdr:col>7</xdr:col>
      <xdr:colOff>0</xdr:colOff>
      <xdr:row>23</xdr:row>
      <xdr:rowOff>0</xdr:rowOff>
    </xdr:to>
    <xdr:graphicFrame macro="">
      <xdr:nvGraphicFramePr>
        <xdr:cNvPr id="2" name="Chart 1">
          <a:extLst>
            <a:ext uri="{FF2B5EF4-FFF2-40B4-BE49-F238E27FC236}">
              <a16:creationId xmlns:a16="http://schemas.microsoft.com/office/drawing/2014/main" id="{E9545507-47FF-4A21-ABCC-AFF5552932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24</xdr:row>
      <xdr:rowOff>0</xdr:rowOff>
    </xdr:from>
    <xdr:to>
      <xdr:col>7</xdr:col>
      <xdr:colOff>0</xdr:colOff>
      <xdr:row>38</xdr:row>
      <xdr:rowOff>0</xdr:rowOff>
    </xdr:to>
    <xdr:graphicFrame macro="">
      <xdr:nvGraphicFramePr>
        <xdr:cNvPr id="3" name="Chart 2">
          <a:extLst>
            <a:ext uri="{FF2B5EF4-FFF2-40B4-BE49-F238E27FC236}">
              <a16:creationId xmlns:a16="http://schemas.microsoft.com/office/drawing/2014/main" id="{21DA25AB-11CE-43D6-A072-A81170294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9</xdr:row>
      <xdr:rowOff>0</xdr:rowOff>
    </xdr:from>
    <xdr:to>
      <xdr:col>14</xdr:col>
      <xdr:colOff>0</xdr:colOff>
      <xdr:row>23</xdr:row>
      <xdr:rowOff>0</xdr:rowOff>
    </xdr:to>
    <xdr:graphicFrame macro="">
      <xdr:nvGraphicFramePr>
        <xdr:cNvPr id="4" name="Chart 3">
          <a:extLst>
            <a:ext uri="{FF2B5EF4-FFF2-40B4-BE49-F238E27FC236}">
              <a16:creationId xmlns:a16="http://schemas.microsoft.com/office/drawing/2014/main" id="{1CB3C541-D0B8-498E-8846-B631E5FCA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24</xdr:row>
      <xdr:rowOff>0</xdr:rowOff>
    </xdr:from>
    <xdr:to>
      <xdr:col>14</xdr:col>
      <xdr:colOff>0</xdr:colOff>
      <xdr:row>38</xdr:row>
      <xdr:rowOff>0</xdr:rowOff>
    </xdr:to>
    <xdr:graphicFrame macro="">
      <xdr:nvGraphicFramePr>
        <xdr:cNvPr id="5" name="Chart 4">
          <a:extLst>
            <a:ext uri="{FF2B5EF4-FFF2-40B4-BE49-F238E27FC236}">
              <a16:creationId xmlns:a16="http://schemas.microsoft.com/office/drawing/2014/main" id="{47721E51-1F45-4FCA-8225-7BFE1E5E7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594360</xdr:colOff>
      <xdr:row>2</xdr:row>
      <xdr:rowOff>30480</xdr:rowOff>
    </xdr:from>
    <xdr:to>
      <xdr:col>29</xdr:col>
      <xdr:colOff>110894</xdr:colOff>
      <xdr:row>69</xdr:row>
      <xdr:rowOff>152400</xdr:rowOff>
    </xdr:to>
    <xdr:sp macro="" textlink="">
      <xdr:nvSpPr>
        <xdr:cNvPr id="2" name="Rectangle 1">
          <a:extLst>
            <a:ext uri="{FF2B5EF4-FFF2-40B4-BE49-F238E27FC236}">
              <a16:creationId xmlns:a16="http://schemas.microsoft.com/office/drawing/2014/main" id="{992332F0-9A8A-2208-3BBC-D60414222FBE}"/>
            </a:ext>
          </a:extLst>
        </xdr:cNvPr>
        <xdr:cNvSpPr/>
      </xdr:nvSpPr>
      <xdr:spPr>
        <a:xfrm>
          <a:off x="1264920" y="396240"/>
          <a:ext cx="16585334" cy="12374880"/>
        </a:xfrm>
        <a:prstGeom prst="rect">
          <a:avLst/>
        </a:prstGeom>
        <a:solidFill>
          <a:schemeClr val="accent1">
            <a:lumMod val="20000"/>
            <a:lumOff val="80000"/>
          </a:schemeClr>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579120</xdr:colOff>
      <xdr:row>2</xdr:row>
      <xdr:rowOff>45720</xdr:rowOff>
    </xdr:from>
    <xdr:to>
      <xdr:col>6</xdr:col>
      <xdr:colOff>579120</xdr:colOff>
      <xdr:row>69</xdr:row>
      <xdr:rowOff>167640</xdr:rowOff>
    </xdr:to>
    <xdr:sp macro="" textlink="">
      <xdr:nvSpPr>
        <xdr:cNvPr id="3" name="Rectangle 2">
          <a:extLst>
            <a:ext uri="{FF2B5EF4-FFF2-40B4-BE49-F238E27FC236}">
              <a16:creationId xmlns:a16="http://schemas.microsoft.com/office/drawing/2014/main" id="{D7864F23-B5DD-3277-ADD2-80BE625986F5}"/>
            </a:ext>
          </a:extLst>
        </xdr:cNvPr>
        <xdr:cNvSpPr/>
      </xdr:nvSpPr>
      <xdr:spPr>
        <a:xfrm>
          <a:off x="1249680" y="411480"/>
          <a:ext cx="3048000" cy="12374880"/>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             </a:t>
          </a:r>
        </a:p>
        <a:p>
          <a:pPr algn="l"/>
          <a:r>
            <a:rPr lang="en-IN" sz="1800" b="1"/>
            <a:t>                          </a:t>
          </a:r>
        </a:p>
      </xdr:txBody>
    </xdr:sp>
    <xdr:clientData/>
  </xdr:twoCellAnchor>
  <xdr:twoCellAnchor>
    <xdr:from>
      <xdr:col>7</xdr:col>
      <xdr:colOff>154983</xdr:colOff>
      <xdr:row>5</xdr:row>
      <xdr:rowOff>101258</xdr:rowOff>
    </xdr:from>
    <xdr:to>
      <xdr:col>11</xdr:col>
      <xdr:colOff>190501</xdr:colOff>
      <xdr:row>12</xdr:row>
      <xdr:rowOff>0</xdr:rowOff>
    </xdr:to>
    <xdr:sp macro="" textlink="">
      <xdr:nvSpPr>
        <xdr:cNvPr id="4" name="Rectangle: Rounded Corners 3">
          <a:extLst>
            <a:ext uri="{FF2B5EF4-FFF2-40B4-BE49-F238E27FC236}">
              <a16:creationId xmlns:a16="http://schemas.microsoft.com/office/drawing/2014/main" id="{E8C350B8-72AE-C640-84E0-01B8B952C14B}"/>
            </a:ext>
          </a:extLst>
        </xdr:cNvPr>
        <xdr:cNvSpPr/>
      </xdr:nvSpPr>
      <xdr:spPr>
        <a:xfrm>
          <a:off x="4468678" y="1005326"/>
          <a:ext cx="2463586" cy="1164437"/>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           </a:t>
          </a:r>
          <a:r>
            <a:rPr lang="en-IN" sz="2000" b="1"/>
            <a:t>TOTAL SALES </a:t>
          </a:r>
        </a:p>
        <a:p>
          <a:pPr algn="l"/>
          <a:endParaRPr lang="en-IN" sz="1600"/>
        </a:p>
        <a:p>
          <a:pPr algn="l"/>
          <a:r>
            <a:rPr lang="en-IN" sz="2400"/>
            <a:t>            </a:t>
          </a:r>
        </a:p>
      </xdr:txBody>
    </xdr:sp>
    <xdr:clientData/>
  </xdr:twoCellAnchor>
  <xdr:twoCellAnchor>
    <xdr:from>
      <xdr:col>11</xdr:col>
      <xdr:colOff>442576</xdr:colOff>
      <xdr:row>5</xdr:row>
      <xdr:rowOff>116992</xdr:rowOff>
    </xdr:from>
    <xdr:to>
      <xdr:col>16</xdr:col>
      <xdr:colOff>13607</xdr:colOff>
      <xdr:row>12</xdr:row>
      <xdr:rowOff>19655</xdr:rowOff>
    </xdr:to>
    <xdr:sp macro="" textlink="">
      <xdr:nvSpPr>
        <xdr:cNvPr id="5" name="Rectangle: Rounded Corners 4">
          <a:extLst>
            <a:ext uri="{FF2B5EF4-FFF2-40B4-BE49-F238E27FC236}">
              <a16:creationId xmlns:a16="http://schemas.microsoft.com/office/drawing/2014/main" id="{0B3DF2F2-17D8-413E-AE43-2CB4C7F86209}"/>
            </a:ext>
          </a:extLst>
        </xdr:cNvPr>
        <xdr:cNvSpPr/>
      </xdr:nvSpPr>
      <xdr:spPr>
        <a:xfrm>
          <a:off x="7232540" y="1001456"/>
          <a:ext cx="2632638" cy="1140913"/>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          </a:t>
          </a:r>
          <a:r>
            <a:rPr lang="en-IN" sz="2000" b="1"/>
            <a:t>AVERAGE SALE</a:t>
          </a:r>
        </a:p>
      </xdr:txBody>
    </xdr:sp>
    <xdr:clientData/>
  </xdr:twoCellAnchor>
  <xdr:twoCellAnchor>
    <xdr:from>
      <xdr:col>17</xdr:col>
      <xdr:colOff>13607</xdr:colOff>
      <xdr:row>5</xdr:row>
      <xdr:rowOff>89779</xdr:rowOff>
    </xdr:from>
    <xdr:to>
      <xdr:col>21</xdr:col>
      <xdr:colOff>299357</xdr:colOff>
      <xdr:row>11</xdr:row>
      <xdr:rowOff>169335</xdr:rowOff>
    </xdr:to>
    <xdr:sp macro="" textlink="">
      <xdr:nvSpPr>
        <xdr:cNvPr id="6" name="Rectangle: Rounded Corners 5">
          <a:extLst>
            <a:ext uri="{FF2B5EF4-FFF2-40B4-BE49-F238E27FC236}">
              <a16:creationId xmlns:a16="http://schemas.microsoft.com/office/drawing/2014/main" id="{9A531736-19EE-44F4-B93C-AE593FAA0494}"/>
            </a:ext>
          </a:extLst>
        </xdr:cNvPr>
        <xdr:cNvSpPr/>
      </xdr:nvSpPr>
      <xdr:spPr>
        <a:xfrm>
          <a:off x="10477500" y="974243"/>
          <a:ext cx="2735036" cy="1140913"/>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    TOTAL QUANTITY</a:t>
          </a:r>
        </a:p>
      </xdr:txBody>
    </xdr:sp>
    <xdr:clientData/>
  </xdr:twoCellAnchor>
  <xdr:twoCellAnchor>
    <xdr:from>
      <xdr:col>22</xdr:col>
      <xdr:colOff>353785</xdr:colOff>
      <xdr:row>5</xdr:row>
      <xdr:rowOff>89778</xdr:rowOff>
    </xdr:from>
    <xdr:to>
      <xdr:col>27</xdr:col>
      <xdr:colOff>95249</xdr:colOff>
      <xdr:row>11</xdr:row>
      <xdr:rowOff>169334</xdr:rowOff>
    </xdr:to>
    <xdr:sp macro="" textlink="">
      <xdr:nvSpPr>
        <xdr:cNvPr id="7" name="Rectangle: Rounded Corners 6">
          <a:extLst>
            <a:ext uri="{FF2B5EF4-FFF2-40B4-BE49-F238E27FC236}">
              <a16:creationId xmlns:a16="http://schemas.microsoft.com/office/drawing/2014/main" id="{3614D1B7-47CC-4C93-9859-F7045460401C}"/>
            </a:ext>
          </a:extLst>
        </xdr:cNvPr>
        <xdr:cNvSpPr/>
      </xdr:nvSpPr>
      <xdr:spPr>
        <a:xfrm>
          <a:off x="13879285" y="974242"/>
          <a:ext cx="2803071" cy="1140913"/>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        TOTAL ORDERS</a:t>
          </a:r>
        </a:p>
      </xdr:txBody>
    </xdr:sp>
    <xdr:clientData/>
  </xdr:twoCellAnchor>
  <xdr:twoCellAnchor>
    <xdr:from>
      <xdr:col>1</xdr:col>
      <xdr:colOff>0</xdr:colOff>
      <xdr:row>0</xdr:row>
      <xdr:rowOff>9407</xdr:rowOff>
    </xdr:from>
    <xdr:to>
      <xdr:col>1</xdr:col>
      <xdr:colOff>45719</xdr:colOff>
      <xdr:row>2</xdr:row>
      <xdr:rowOff>0</xdr:rowOff>
    </xdr:to>
    <xdr:sp macro="" textlink="">
      <xdr:nvSpPr>
        <xdr:cNvPr id="11" name="TextBox 10">
          <a:extLst>
            <a:ext uri="{FF2B5EF4-FFF2-40B4-BE49-F238E27FC236}">
              <a16:creationId xmlns:a16="http://schemas.microsoft.com/office/drawing/2014/main" id="{73A50A7E-79E1-212A-3A9F-EE823E0556DE}"/>
            </a:ext>
          </a:extLst>
        </xdr:cNvPr>
        <xdr:cNvSpPr txBox="1"/>
      </xdr:nvSpPr>
      <xdr:spPr>
        <a:xfrm>
          <a:off x="667926" y="9407"/>
          <a:ext cx="45719" cy="3480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4</xdr:col>
      <xdr:colOff>385704</xdr:colOff>
      <xdr:row>4</xdr:row>
      <xdr:rowOff>47037</xdr:rowOff>
    </xdr:from>
    <xdr:to>
      <xdr:col>6</xdr:col>
      <xdr:colOff>385704</xdr:colOff>
      <xdr:row>10</xdr:row>
      <xdr:rowOff>47037</xdr:rowOff>
    </xdr:to>
    <xdr:sp macro="" textlink="">
      <xdr:nvSpPr>
        <xdr:cNvPr id="15" name="Rectangle 14">
          <a:extLst>
            <a:ext uri="{FF2B5EF4-FFF2-40B4-BE49-F238E27FC236}">
              <a16:creationId xmlns:a16="http://schemas.microsoft.com/office/drawing/2014/main" id="{6F2AECED-8D80-85CE-94E5-E0A8374789B8}"/>
            </a:ext>
          </a:extLst>
        </xdr:cNvPr>
        <xdr:cNvSpPr/>
      </xdr:nvSpPr>
      <xdr:spPr>
        <a:xfrm>
          <a:off x="2888074" y="762000"/>
          <a:ext cx="1222963" cy="107244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p>
      </xdr:txBody>
    </xdr:sp>
    <xdr:clientData/>
  </xdr:twoCellAnchor>
  <xdr:twoCellAnchor>
    <xdr:from>
      <xdr:col>2</xdr:col>
      <xdr:colOff>45720</xdr:colOff>
      <xdr:row>8</xdr:row>
      <xdr:rowOff>167640</xdr:rowOff>
    </xdr:from>
    <xdr:to>
      <xdr:col>6</xdr:col>
      <xdr:colOff>501791</xdr:colOff>
      <xdr:row>11</xdr:row>
      <xdr:rowOff>71683</xdr:rowOff>
    </xdr:to>
    <xdr:sp macro="" textlink="">
      <xdr:nvSpPr>
        <xdr:cNvPr id="16" name="Rectangle: Rounded Corners 15">
          <a:extLst>
            <a:ext uri="{FF2B5EF4-FFF2-40B4-BE49-F238E27FC236}">
              <a16:creationId xmlns:a16="http://schemas.microsoft.com/office/drawing/2014/main" id="{4B05127A-0C30-B0A4-7A8D-11499F8C37C0}"/>
            </a:ext>
          </a:extLst>
        </xdr:cNvPr>
        <xdr:cNvSpPr/>
      </xdr:nvSpPr>
      <xdr:spPr>
        <a:xfrm>
          <a:off x="1325880" y="1630680"/>
          <a:ext cx="2894471" cy="452683"/>
        </a:xfrm>
        <a:prstGeom prst="roundRect">
          <a:avLst/>
        </a:prstGeom>
        <a:no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                                  </a:t>
          </a:r>
          <a:r>
            <a:rPr lang="en-IN" sz="1800" b="1"/>
            <a:t>DASHBOARD</a:t>
          </a:r>
        </a:p>
      </xdr:txBody>
    </xdr:sp>
    <xdr:clientData/>
  </xdr:twoCellAnchor>
  <xdr:twoCellAnchor>
    <xdr:from>
      <xdr:col>2</xdr:col>
      <xdr:colOff>30480</xdr:colOff>
      <xdr:row>12</xdr:row>
      <xdr:rowOff>15240</xdr:rowOff>
    </xdr:from>
    <xdr:to>
      <xdr:col>6</xdr:col>
      <xdr:colOff>524181</xdr:colOff>
      <xdr:row>14</xdr:row>
      <xdr:rowOff>167641</xdr:rowOff>
    </xdr:to>
    <xdr:sp macro="" textlink="">
      <xdr:nvSpPr>
        <xdr:cNvPr id="17" name="Rectangle: Rounded Corners 16">
          <a:extLst>
            <a:ext uri="{FF2B5EF4-FFF2-40B4-BE49-F238E27FC236}">
              <a16:creationId xmlns:a16="http://schemas.microsoft.com/office/drawing/2014/main" id="{E95FE470-F8E0-F4CE-9DD6-D60857F1E106}"/>
            </a:ext>
          </a:extLst>
        </xdr:cNvPr>
        <xdr:cNvSpPr/>
      </xdr:nvSpPr>
      <xdr:spPr>
        <a:xfrm>
          <a:off x="1310640" y="2209800"/>
          <a:ext cx="2932101" cy="518161"/>
        </a:xfrm>
        <a:prstGeom prst="roundRect">
          <a:avLst/>
        </a:prstGeom>
        <a:no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                            ANALYSIS</a:t>
          </a:r>
        </a:p>
      </xdr:txBody>
    </xdr:sp>
    <xdr:clientData/>
  </xdr:twoCellAnchor>
  <xdr:twoCellAnchor>
    <xdr:from>
      <xdr:col>2</xdr:col>
      <xdr:colOff>30480</xdr:colOff>
      <xdr:row>15</xdr:row>
      <xdr:rowOff>106680</xdr:rowOff>
    </xdr:from>
    <xdr:to>
      <xdr:col>6</xdr:col>
      <xdr:colOff>457200</xdr:colOff>
      <xdr:row>18</xdr:row>
      <xdr:rowOff>15240</xdr:rowOff>
    </xdr:to>
    <xdr:sp macro="" textlink="">
      <xdr:nvSpPr>
        <xdr:cNvPr id="18" name="Rectangle: Rounded Corners 17">
          <a:extLst>
            <a:ext uri="{FF2B5EF4-FFF2-40B4-BE49-F238E27FC236}">
              <a16:creationId xmlns:a16="http://schemas.microsoft.com/office/drawing/2014/main" id="{CFBCEE45-CC4B-2065-1158-90CBA478BFDF}"/>
            </a:ext>
          </a:extLst>
        </xdr:cNvPr>
        <xdr:cNvSpPr/>
      </xdr:nvSpPr>
      <xdr:spPr>
        <a:xfrm>
          <a:off x="1310640" y="2849880"/>
          <a:ext cx="2865120" cy="457200"/>
        </a:xfrm>
        <a:prstGeom prst="roundRect">
          <a:avLst/>
        </a:prstGeom>
        <a:no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                             DATA</a:t>
          </a:r>
        </a:p>
      </xdr:txBody>
    </xdr:sp>
    <xdr:clientData/>
  </xdr:twoCellAnchor>
  <xdr:twoCellAnchor>
    <xdr:from>
      <xdr:col>4</xdr:col>
      <xdr:colOff>30480</xdr:colOff>
      <xdr:row>2</xdr:row>
      <xdr:rowOff>45721</xdr:rowOff>
    </xdr:from>
    <xdr:to>
      <xdr:col>7</xdr:col>
      <xdr:colOff>65852</xdr:colOff>
      <xdr:row>8</xdr:row>
      <xdr:rowOff>167641</xdr:rowOff>
    </xdr:to>
    <xdr:sp macro="" textlink="">
      <xdr:nvSpPr>
        <xdr:cNvPr id="19" name="Rectangle 18">
          <a:extLst>
            <a:ext uri="{FF2B5EF4-FFF2-40B4-BE49-F238E27FC236}">
              <a16:creationId xmlns:a16="http://schemas.microsoft.com/office/drawing/2014/main" id="{C903979A-7515-1408-FC39-FFD079736791}"/>
            </a:ext>
          </a:extLst>
        </xdr:cNvPr>
        <xdr:cNvSpPr/>
      </xdr:nvSpPr>
      <xdr:spPr>
        <a:xfrm>
          <a:off x="2529840" y="411481"/>
          <a:ext cx="1864172" cy="12192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t>RETAIL</a:t>
          </a:r>
        </a:p>
        <a:p>
          <a:pPr algn="l"/>
          <a:r>
            <a:rPr lang="en-IN" sz="2400" b="1"/>
            <a:t>SALES</a:t>
          </a:r>
        </a:p>
        <a:p>
          <a:pPr algn="l"/>
          <a:r>
            <a:rPr lang="en-IN" sz="2400" b="1"/>
            <a:t>ANALYTICS</a:t>
          </a:r>
        </a:p>
      </xdr:txBody>
    </xdr:sp>
    <xdr:clientData/>
  </xdr:twoCellAnchor>
  <xdr:twoCellAnchor>
    <xdr:from>
      <xdr:col>9</xdr:col>
      <xdr:colOff>540745</xdr:colOff>
      <xdr:row>2</xdr:row>
      <xdr:rowOff>0</xdr:rowOff>
    </xdr:from>
    <xdr:to>
      <xdr:col>22</xdr:col>
      <xdr:colOff>0</xdr:colOff>
      <xdr:row>5</xdr:row>
      <xdr:rowOff>0</xdr:rowOff>
    </xdr:to>
    <xdr:sp macro="" textlink="">
      <xdr:nvSpPr>
        <xdr:cNvPr id="20" name="Rectangle 19">
          <a:extLst>
            <a:ext uri="{FF2B5EF4-FFF2-40B4-BE49-F238E27FC236}">
              <a16:creationId xmlns:a16="http://schemas.microsoft.com/office/drawing/2014/main" id="{FA6F961D-7E2C-2DBF-306C-2B08D4C98657}"/>
            </a:ext>
          </a:extLst>
        </xdr:cNvPr>
        <xdr:cNvSpPr/>
      </xdr:nvSpPr>
      <xdr:spPr>
        <a:xfrm>
          <a:off x="6100523" y="357481"/>
          <a:ext cx="7408514" cy="53622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tx2"/>
              </a:solidFill>
            </a:rPr>
            <a:t>RETAIL SALES PERFORMANCE</a:t>
          </a:r>
          <a:r>
            <a:rPr lang="en-IN" sz="2800" b="1" baseline="0">
              <a:solidFill>
                <a:schemeClr val="tx2"/>
              </a:solidFill>
            </a:rPr>
            <a:t> DASHBOARD</a:t>
          </a:r>
          <a:endParaRPr lang="en-IN" sz="2800" b="1">
            <a:solidFill>
              <a:schemeClr val="tx2"/>
            </a:solidFill>
          </a:endParaRPr>
        </a:p>
      </xdr:txBody>
    </xdr:sp>
    <xdr:clientData/>
  </xdr:twoCellAnchor>
  <xdr:twoCellAnchor>
    <xdr:from>
      <xdr:col>7</xdr:col>
      <xdr:colOff>296479</xdr:colOff>
      <xdr:row>8</xdr:row>
      <xdr:rowOff>28958</xdr:rowOff>
    </xdr:from>
    <xdr:to>
      <xdr:col>10</xdr:col>
      <xdr:colOff>440531</xdr:colOff>
      <xdr:row>11</xdr:row>
      <xdr:rowOff>47626</xdr:rowOff>
    </xdr:to>
    <xdr:sp macro="" textlink="Sheet7!$A$6">
      <xdr:nvSpPr>
        <xdr:cNvPr id="8" name="TextBox 7">
          <a:extLst>
            <a:ext uri="{FF2B5EF4-FFF2-40B4-BE49-F238E27FC236}">
              <a16:creationId xmlns:a16="http://schemas.microsoft.com/office/drawing/2014/main" id="{AF468980-4EC1-1F7B-4AE8-2519E43E32E3}"/>
            </a:ext>
          </a:extLst>
        </xdr:cNvPr>
        <xdr:cNvSpPr txBox="1"/>
      </xdr:nvSpPr>
      <xdr:spPr>
        <a:xfrm>
          <a:off x="4606542" y="1457708"/>
          <a:ext cx="1965708" cy="554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C6929D6-C75B-4DCD-8C6A-00C4B7A08D15}" type="TxLink">
            <a:rPr lang="en-US" sz="2800" b="1" i="0" u="none" strike="noStrike">
              <a:solidFill>
                <a:srgbClr val="000000"/>
              </a:solidFill>
              <a:latin typeface="Segoe UI" panose="020B0502040204020203" pitchFamily="34" charset="0"/>
              <a:cs typeface="Segoe UI" panose="020B0502040204020203" pitchFamily="34" charset="0"/>
            </a:rPr>
            <a:pPr/>
            <a:t>₹ 5,46,600</a:t>
          </a:fld>
          <a:endParaRPr lang="en-IN" sz="2800" b="1">
            <a:latin typeface="Segoe UI" panose="020B0502040204020203" pitchFamily="34" charset="0"/>
            <a:cs typeface="Segoe UI" panose="020B0502040204020203" pitchFamily="34" charset="0"/>
          </a:endParaRPr>
        </a:p>
      </xdr:txBody>
    </xdr:sp>
    <xdr:clientData/>
  </xdr:twoCellAnchor>
  <xdr:twoCellAnchor>
    <xdr:from>
      <xdr:col>12</xdr:col>
      <xdr:colOff>260238</xdr:colOff>
      <xdr:row>7</xdr:row>
      <xdr:rowOff>170089</xdr:rowOff>
    </xdr:from>
    <xdr:to>
      <xdr:col>15</xdr:col>
      <xdr:colOff>164986</xdr:colOff>
      <xdr:row>11</xdr:row>
      <xdr:rowOff>112259</xdr:rowOff>
    </xdr:to>
    <xdr:sp macro="" textlink="Sheet7!$D$6">
      <xdr:nvSpPr>
        <xdr:cNvPr id="9" name="TextBox 8">
          <a:extLst>
            <a:ext uri="{FF2B5EF4-FFF2-40B4-BE49-F238E27FC236}">
              <a16:creationId xmlns:a16="http://schemas.microsoft.com/office/drawing/2014/main" id="{F674149E-28C0-128D-9226-202DA61365BC}"/>
            </a:ext>
          </a:extLst>
        </xdr:cNvPr>
        <xdr:cNvSpPr txBox="1"/>
      </xdr:nvSpPr>
      <xdr:spPr>
        <a:xfrm>
          <a:off x="7662524" y="1408339"/>
          <a:ext cx="1741712" cy="649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488A06-DF9F-45BA-8239-0D92DB3A9EFB}" type="TxLink">
            <a:rPr lang="en-US" sz="2800" b="1" i="0" u="none" strike="noStrike">
              <a:solidFill>
                <a:srgbClr val="000000"/>
              </a:solidFill>
              <a:latin typeface="Segoe UI" panose="020B0502040204020203" pitchFamily="34" charset="0"/>
              <a:cs typeface="Segoe UI" panose="020B0502040204020203" pitchFamily="34" charset="0"/>
            </a:rPr>
            <a:pPr/>
            <a:t>₹ 36,440</a:t>
          </a:fld>
          <a:endParaRPr lang="en-IN" sz="2800" b="1">
            <a:latin typeface="Segoe UI" panose="020B0502040204020203" pitchFamily="34" charset="0"/>
            <a:cs typeface="Segoe UI" panose="020B0502040204020203" pitchFamily="34" charset="0"/>
          </a:endParaRPr>
        </a:p>
      </xdr:txBody>
    </xdr:sp>
    <xdr:clientData/>
  </xdr:twoCellAnchor>
  <xdr:twoCellAnchor>
    <xdr:from>
      <xdr:col>18</xdr:col>
      <xdr:colOff>253434</xdr:colOff>
      <xdr:row>8</xdr:row>
      <xdr:rowOff>32317</xdr:rowOff>
    </xdr:from>
    <xdr:to>
      <xdr:col>19</xdr:col>
      <xdr:colOff>420120</xdr:colOff>
      <xdr:row>11</xdr:row>
      <xdr:rowOff>79942</xdr:rowOff>
    </xdr:to>
    <xdr:sp macro="" textlink="Sheet7!$B$6">
      <xdr:nvSpPr>
        <xdr:cNvPr id="10" name="TextBox 9">
          <a:extLst>
            <a:ext uri="{FF2B5EF4-FFF2-40B4-BE49-F238E27FC236}">
              <a16:creationId xmlns:a16="http://schemas.microsoft.com/office/drawing/2014/main" id="{E274EF83-2BEA-E360-D67E-4ACB72097E31}"/>
            </a:ext>
          </a:extLst>
        </xdr:cNvPr>
        <xdr:cNvSpPr txBox="1"/>
      </xdr:nvSpPr>
      <xdr:spPr>
        <a:xfrm>
          <a:off x="11329648" y="1447460"/>
          <a:ext cx="779008" cy="578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0F78F5-27F9-4510-87DD-7A303FE0604E}" type="TxLink">
            <a:rPr lang="en-US" sz="2800" b="1" i="0" u="none" strike="noStrike">
              <a:solidFill>
                <a:srgbClr val="000000"/>
              </a:solidFill>
              <a:latin typeface="Segoe UI" panose="020B0502040204020203" pitchFamily="34" charset="0"/>
              <a:cs typeface="Segoe UI" panose="020B0502040204020203" pitchFamily="34" charset="0"/>
            </a:rPr>
            <a:pPr/>
            <a:t>43</a:t>
          </a:fld>
          <a:endParaRPr lang="en-IN" sz="2800" b="1">
            <a:latin typeface="Segoe UI" panose="020B0502040204020203" pitchFamily="34" charset="0"/>
            <a:cs typeface="Segoe UI" panose="020B0502040204020203" pitchFamily="34" charset="0"/>
          </a:endParaRPr>
        </a:p>
      </xdr:txBody>
    </xdr:sp>
    <xdr:clientData/>
  </xdr:twoCellAnchor>
  <xdr:twoCellAnchor>
    <xdr:from>
      <xdr:col>24</xdr:col>
      <xdr:colOff>127568</xdr:colOff>
      <xdr:row>8</xdr:row>
      <xdr:rowOff>42523</xdr:rowOff>
    </xdr:from>
    <xdr:to>
      <xdr:col>26</xdr:col>
      <xdr:colOff>151379</xdr:colOff>
      <xdr:row>11</xdr:row>
      <xdr:rowOff>171791</xdr:rowOff>
    </xdr:to>
    <xdr:sp macro="" textlink="Sheet7!$C$6">
      <xdr:nvSpPr>
        <xdr:cNvPr id="12" name="TextBox 11">
          <a:extLst>
            <a:ext uri="{FF2B5EF4-FFF2-40B4-BE49-F238E27FC236}">
              <a16:creationId xmlns:a16="http://schemas.microsoft.com/office/drawing/2014/main" id="{E90465E4-2AED-CB49-7A23-FCBC2112E61E}"/>
            </a:ext>
          </a:extLst>
        </xdr:cNvPr>
        <xdr:cNvSpPr txBox="1"/>
      </xdr:nvSpPr>
      <xdr:spPr>
        <a:xfrm>
          <a:off x="14877711" y="1457666"/>
          <a:ext cx="1248454" cy="659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D7B052-95BD-4623-B01F-E0DF600E9435}" type="TxLink">
            <a:rPr lang="en-US" sz="2800" b="1" i="0" u="none" strike="noStrike">
              <a:solidFill>
                <a:srgbClr val="000000"/>
              </a:solidFill>
              <a:latin typeface="Segoe UI" panose="020B0502040204020203" pitchFamily="34" charset="0"/>
              <a:cs typeface="Segoe UI" panose="020B0502040204020203" pitchFamily="34" charset="0"/>
            </a:rPr>
            <a:pPr/>
            <a:t>15</a:t>
          </a:fld>
          <a:endParaRPr lang="en-IN" sz="2800" b="1">
            <a:latin typeface="Segoe UI" panose="020B0502040204020203" pitchFamily="34" charset="0"/>
            <a:cs typeface="Segoe UI" panose="020B0502040204020203" pitchFamily="34" charset="0"/>
          </a:endParaRPr>
        </a:p>
      </xdr:txBody>
    </xdr:sp>
    <xdr:clientData/>
  </xdr:twoCellAnchor>
  <xdr:twoCellAnchor>
    <xdr:from>
      <xdr:col>19</xdr:col>
      <xdr:colOff>607016</xdr:colOff>
      <xdr:row>12</xdr:row>
      <xdr:rowOff>38747</xdr:rowOff>
    </xdr:from>
    <xdr:to>
      <xdr:col>29</xdr:col>
      <xdr:colOff>-1</xdr:colOff>
      <xdr:row>31</xdr:row>
      <xdr:rowOff>38746</xdr:rowOff>
    </xdr:to>
    <xdr:graphicFrame macro="">
      <xdr:nvGraphicFramePr>
        <xdr:cNvPr id="14" name="Chart 13">
          <a:extLst>
            <a:ext uri="{FF2B5EF4-FFF2-40B4-BE49-F238E27FC236}">
              <a16:creationId xmlns:a16="http://schemas.microsoft.com/office/drawing/2014/main" id="{57D048DD-C77F-438E-83FD-AF72796ED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40820</xdr:colOff>
      <xdr:row>31</xdr:row>
      <xdr:rowOff>163286</xdr:rowOff>
    </xdr:from>
    <xdr:to>
      <xdr:col>14</xdr:col>
      <xdr:colOff>272141</xdr:colOff>
      <xdr:row>51</xdr:row>
      <xdr:rowOff>122465</xdr:rowOff>
    </xdr:to>
    <xdr:graphicFrame macro="">
      <xdr:nvGraphicFramePr>
        <xdr:cNvPr id="23" name="Chart 22">
          <a:extLst>
            <a:ext uri="{FF2B5EF4-FFF2-40B4-BE49-F238E27FC236}">
              <a16:creationId xmlns:a16="http://schemas.microsoft.com/office/drawing/2014/main" id="{298B936F-62B6-4F89-934D-A839271EB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530677</xdr:colOff>
      <xdr:row>32</xdr:row>
      <xdr:rowOff>13608</xdr:rowOff>
    </xdr:from>
    <xdr:to>
      <xdr:col>21</xdr:col>
      <xdr:colOff>298267</xdr:colOff>
      <xdr:row>51</xdr:row>
      <xdr:rowOff>68034</xdr:rowOff>
    </xdr:to>
    <xdr:graphicFrame macro="">
      <xdr:nvGraphicFramePr>
        <xdr:cNvPr id="24" name="Chart 23">
          <a:extLst>
            <a:ext uri="{FF2B5EF4-FFF2-40B4-BE49-F238E27FC236}">
              <a16:creationId xmlns:a16="http://schemas.microsoft.com/office/drawing/2014/main" id="{313BDA72-6E2F-4ADF-B40E-1043962E4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449035</xdr:colOff>
      <xdr:row>32</xdr:row>
      <xdr:rowOff>13607</xdr:rowOff>
    </xdr:from>
    <xdr:to>
      <xdr:col>28</xdr:col>
      <xdr:colOff>13607</xdr:colOff>
      <xdr:row>51</xdr:row>
      <xdr:rowOff>95249</xdr:rowOff>
    </xdr:to>
    <xdr:graphicFrame macro="">
      <xdr:nvGraphicFramePr>
        <xdr:cNvPr id="25" name="Chart 24">
          <a:extLst>
            <a:ext uri="{FF2B5EF4-FFF2-40B4-BE49-F238E27FC236}">
              <a16:creationId xmlns:a16="http://schemas.microsoft.com/office/drawing/2014/main" id="{B14823B1-6F00-4A06-A10F-637FA0B32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0</xdr:colOff>
      <xdr:row>19</xdr:row>
      <xdr:rowOff>0</xdr:rowOff>
    </xdr:from>
    <xdr:to>
      <xdr:col>6</xdr:col>
      <xdr:colOff>567043</xdr:colOff>
      <xdr:row>39</xdr:row>
      <xdr:rowOff>91729</xdr:rowOff>
    </xdr:to>
    <mc:AlternateContent xmlns:mc="http://schemas.openxmlformats.org/markup-compatibility/2006" xmlns:a14="http://schemas.microsoft.com/office/drawing/2010/main">
      <mc:Choice Requires="a14">
        <xdr:graphicFrame macro="">
          <xdr:nvGraphicFramePr>
            <xdr:cNvPr id="26" name="Product 1">
              <a:extLst>
                <a:ext uri="{FF2B5EF4-FFF2-40B4-BE49-F238E27FC236}">
                  <a16:creationId xmlns:a16="http://schemas.microsoft.com/office/drawing/2014/main" id="{0CDDB5C5-AB6E-4157-BF1A-5A4A97A96F2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280809" y="3388468"/>
              <a:ext cx="3031383" cy="36585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64576</xdr:colOff>
      <xdr:row>12</xdr:row>
      <xdr:rowOff>90407</xdr:rowOff>
    </xdr:from>
    <xdr:to>
      <xdr:col>19</xdr:col>
      <xdr:colOff>607016</xdr:colOff>
      <xdr:row>32</xdr:row>
      <xdr:rowOff>0</xdr:rowOff>
    </xdr:to>
    <xdr:graphicFrame macro="">
      <xdr:nvGraphicFramePr>
        <xdr:cNvPr id="27" name="Chart 26">
          <a:extLst>
            <a:ext uri="{FF2B5EF4-FFF2-40B4-BE49-F238E27FC236}">
              <a16:creationId xmlns:a16="http://schemas.microsoft.com/office/drawing/2014/main" id="{1512197F-9D91-46C9-A017-C3A1BA8000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0</xdr:colOff>
      <xdr:row>40</xdr:row>
      <xdr:rowOff>90407</xdr:rowOff>
    </xdr:from>
    <xdr:to>
      <xdr:col>7</xdr:col>
      <xdr:colOff>3697</xdr:colOff>
      <xdr:row>52</xdr:row>
      <xdr:rowOff>4966</xdr:rowOff>
    </xdr:to>
    <mc:AlternateContent xmlns:mc="http://schemas.openxmlformats.org/markup-compatibility/2006" xmlns:a14="http://schemas.microsoft.com/office/drawing/2010/main">
      <mc:Choice Requires="a14">
        <xdr:graphicFrame macro="">
          <xdr:nvGraphicFramePr>
            <xdr:cNvPr id="28" name="Category 1">
              <a:extLst>
                <a:ext uri="{FF2B5EF4-FFF2-40B4-BE49-F238E27FC236}">
                  <a16:creationId xmlns:a16="http://schemas.microsoft.com/office/drawing/2014/main" id="{3F6AF5A2-73FF-4D2E-967B-0F7888AC460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80809" y="7224024"/>
              <a:ext cx="3080425" cy="20546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53</xdr:row>
      <xdr:rowOff>0</xdr:rowOff>
    </xdr:from>
    <xdr:to>
      <xdr:col>7</xdr:col>
      <xdr:colOff>3697</xdr:colOff>
      <xdr:row>65</xdr:row>
      <xdr:rowOff>2035</xdr:rowOff>
    </xdr:to>
    <mc:AlternateContent xmlns:mc="http://schemas.openxmlformats.org/markup-compatibility/2006" xmlns:a14="http://schemas.microsoft.com/office/drawing/2010/main">
      <mc:Choice Requires="a14">
        <xdr:graphicFrame macro="">
          <xdr:nvGraphicFramePr>
            <xdr:cNvPr id="29" name="Region 3">
              <a:extLst>
                <a:ext uri="{FF2B5EF4-FFF2-40B4-BE49-F238E27FC236}">
                  <a16:creationId xmlns:a16="http://schemas.microsoft.com/office/drawing/2014/main" id="{5A5AD526-E98B-436A-83B7-BC072CD2F4B1}"/>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280809" y="9452043"/>
              <a:ext cx="3080425" cy="2140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91440</xdr:colOff>
      <xdr:row>53</xdr:row>
      <xdr:rowOff>0</xdr:rowOff>
    </xdr:from>
    <xdr:to>
      <xdr:col>29</xdr:col>
      <xdr:colOff>30480</xdr:colOff>
      <xdr:row>68</xdr:row>
      <xdr:rowOff>152400</xdr:rowOff>
    </xdr:to>
    <xdr:sp macro="" textlink="">
      <xdr:nvSpPr>
        <xdr:cNvPr id="44" name="Rectangle 43">
          <a:extLst>
            <a:ext uri="{FF2B5EF4-FFF2-40B4-BE49-F238E27FC236}">
              <a16:creationId xmlns:a16="http://schemas.microsoft.com/office/drawing/2014/main" id="{6FF75B61-D76C-FD10-D17C-38FA30927C78}"/>
            </a:ext>
          </a:extLst>
        </xdr:cNvPr>
        <xdr:cNvSpPr/>
      </xdr:nvSpPr>
      <xdr:spPr>
        <a:xfrm>
          <a:off x="4419600" y="9692640"/>
          <a:ext cx="13350240" cy="28956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106680</xdr:colOff>
      <xdr:row>52</xdr:row>
      <xdr:rowOff>152400</xdr:rowOff>
    </xdr:from>
    <xdr:to>
      <xdr:col>29</xdr:col>
      <xdr:colOff>0</xdr:colOff>
      <xdr:row>56</xdr:row>
      <xdr:rowOff>0</xdr:rowOff>
    </xdr:to>
    <xdr:sp macro="" textlink="">
      <xdr:nvSpPr>
        <xdr:cNvPr id="13" name="Rectangle 12">
          <a:extLst>
            <a:ext uri="{FF2B5EF4-FFF2-40B4-BE49-F238E27FC236}">
              <a16:creationId xmlns:a16="http://schemas.microsoft.com/office/drawing/2014/main" id="{AC1E4E62-BF7B-53E1-1D56-8EB95AF40541}"/>
            </a:ext>
          </a:extLst>
        </xdr:cNvPr>
        <xdr:cNvSpPr/>
      </xdr:nvSpPr>
      <xdr:spPr>
        <a:xfrm>
          <a:off x="4434840" y="9662160"/>
          <a:ext cx="13304520" cy="57912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t>KEY</a:t>
          </a:r>
          <a:r>
            <a:rPr lang="en-IN" sz="3200" b="1" baseline="0"/>
            <a:t> BUSINESS INSIGHTS</a:t>
          </a:r>
          <a:endParaRPr lang="en-IN" sz="3200" b="1"/>
        </a:p>
      </xdr:txBody>
    </xdr:sp>
    <xdr:clientData/>
  </xdr:twoCellAnchor>
  <xdr:twoCellAnchor>
    <xdr:from>
      <xdr:col>7</xdr:col>
      <xdr:colOff>91440</xdr:colOff>
      <xdr:row>56</xdr:row>
      <xdr:rowOff>30480</xdr:rowOff>
    </xdr:from>
    <xdr:to>
      <xdr:col>29</xdr:col>
      <xdr:colOff>30480</xdr:colOff>
      <xdr:row>68</xdr:row>
      <xdr:rowOff>137160</xdr:rowOff>
    </xdr:to>
    <xdr:sp macro="" textlink="">
      <xdr:nvSpPr>
        <xdr:cNvPr id="21" name="Rectangle 20">
          <a:extLst>
            <a:ext uri="{FF2B5EF4-FFF2-40B4-BE49-F238E27FC236}">
              <a16:creationId xmlns:a16="http://schemas.microsoft.com/office/drawing/2014/main" id="{5843261F-842B-3D92-E355-2A721467E5CE}"/>
            </a:ext>
          </a:extLst>
        </xdr:cNvPr>
        <xdr:cNvSpPr/>
      </xdr:nvSpPr>
      <xdr:spPr>
        <a:xfrm>
          <a:off x="4419600" y="10271760"/>
          <a:ext cx="13350240" cy="230124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a:p>
          <a:pPr algn="l"/>
          <a:r>
            <a:rPr lang="en-IN" sz="1800">
              <a:solidFill>
                <a:schemeClr val="accent1"/>
              </a:solidFill>
            </a:rPr>
            <a:t>1</a:t>
          </a:r>
          <a:r>
            <a:rPr lang="en-IN" sz="1400">
              <a:solidFill>
                <a:schemeClr val="accent1"/>
              </a:solidFill>
            </a:rPr>
            <a:t>. </a:t>
          </a:r>
          <a:r>
            <a:rPr lang="en-IN" sz="1400" b="1">
              <a:solidFill>
                <a:schemeClr val="accent1"/>
              </a:solidFill>
            </a:rPr>
            <a:t>LAPTOP</a:t>
          </a:r>
          <a:r>
            <a:rPr lang="en-IN" sz="1400" b="1" baseline="0">
              <a:solidFill>
                <a:schemeClr val="accent1"/>
              </a:solidFill>
            </a:rPr>
            <a:t> GENERATED THE HIGHEST SALES OF 300000.                                                                          </a:t>
          </a:r>
          <a:r>
            <a:rPr lang="en-IN" sz="1800" b="0" baseline="0">
              <a:solidFill>
                <a:schemeClr val="accent1"/>
              </a:solidFill>
            </a:rPr>
            <a:t>5</a:t>
          </a:r>
          <a:r>
            <a:rPr lang="en-IN" sz="1400" b="0" baseline="0">
              <a:solidFill>
                <a:schemeClr val="accent1"/>
              </a:solidFill>
            </a:rPr>
            <a:t>. </a:t>
          </a:r>
          <a:r>
            <a:rPr lang="en-IN" sz="1400" b="1" baseline="0">
              <a:solidFill>
                <a:schemeClr val="accent1"/>
              </a:solidFill>
            </a:rPr>
            <a:t> UPI WAS THE MOST-USED PAYMENT METHOD WITH  7 ORDERS (46.67%).</a:t>
          </a:r>
          <a:endParaRPr lang="en-IN" sz="1400">
            <a:solidFill>
              <a:schemeClr val="accent1"/>
            </a:solidFill>
          </a:endParaRPr>
        </a:p>
        <a:p>
          <a:pPr algn="l"/>
          <a:endParaRPr lang="en-IN" sz="1400">
            <a:solidFill>
              <a:schemeClr val="accent1"/>
            </a:solidFill>
          </a:endParaRPr>
        </a:p>
        <a:p>
          <a:pPr algn="l"/>
          <a:r>
            <a:rPr lang="en-IN" sz="1800">
              <a:solidFill>
                <a:schemeClr val="accent1"/>
              </a:solidFill>
            </a:rPr>
            <a:t>2</a:t>
          </a:r>
          <a:r>
            <a:rPr lang="en-IN" sz="1400">
              <a:solidFill>
                <a:schemeClr val="accent1"/>
              </a:solidFill>
            </a:rPr>
            <a:t>.</a:t>
          </a:r>
          <a:r>
            <a:rPr lang="en-IN" sz="1400" b="1">
              <a:solidFill>
                <a:schemeClr val="accent1"/>
              </a:solidFill>
            </a:rPr>
            <a:t> HYDERABAD GENERATED THE HIGHEST REGIONAL SALES OF 186 400.                            </a:t>
          </a:r>
          <a:r>
            <a:rPr lang="en-IN" sz="1400" b="1" baseline="0">
              <a:solidFill>
                <a:schemeClr val="accent1"/>
              </a:solidFill>
            </a:rPr>
            <a:t> </a:t>
          </a:r>
          <a:r>
            <a:rPr lang="en-IN" sz="1400" b="1">
              <a:solidFill>
                <a:schemeClr val="accent1"/>
              </a:solidFill>
            </a:rPr>
            <a:t>        </a:t>
          </a:r>
          <a:r>
            <a:rPr lang="en-IN" sz="1800" b="1">
              <a:solidFill>
                <a:schemeClr val="accent1"/>
              </a:solidFill>
            </a:rPr>
            <a:t>6</a:t>
          </a:r>
          <a:r>
            <a:rPr lang="en-IN" sz="1400" b="1">
              <a:solidFill>
                <a:schemeClr val="accent1"/>
              </a:solidFill>
            </a:rPr>
            <a:t>. 12 OF 15 ORDERS WERE</a:t>
          </a:r>
          <a:r>
            <a:rPr lang="en-IN" sz="1400" b="1" baseline="0">
              <a:solidFill>
                <a:schemeClr val="accent1"/>
              </a:solidFill>
            </a:rPr>
            <a:t> DELIVERED , GIVING AN 80% DELIVERY RATE.</a:t>
          </a:r>
          <a:endParaRPr lang="en-IN" sz="1400">
            <a:solidFill>
              <a:schemeClr val="accent1"/>
            </a:solidFill>
          </a:endParaRPr>
        </a:p>
        <a:p>
          <a:pPr algn="l"/>
          <a:endParaRPr lang="en-IN" sz="1400">
            <a:solidFill>
              <a:schemeClr val="accent1"/>
            </a:solidFill>
          </a:endParaRPr>
        </a:p>
        <a:p>
          <a:pPr algn="l"/>
          <a:r>
            <a:rPr lang="en-IN" sz="1800">
              <a:solidFill>
                <a:schemeClr val="accent1"/>
              </a:solidFill>
            </a:rPr>
            <a:t>3</a:t>
          </a:r>
          <a:r>
            <a:rPr lang="en-IN" sz="1400">
              <a:solidFill>
                <a:schemeClr val="accent1"/>
              </a:solidFill>
            </a:rPr>
            <a:t>. </a:t>
          </a:r>
          <a:r>
            <a:rPr lang="en-IN" sz="1400" b="1">
              <a:solidFill>
                <a:schemeClr val="accent1"/>
              </a:solidFill>
            </a:rPr>
            <a:t>THE</a:t>
          </a:r>
          <a:r>
            <a:rPr lang="en-IN" sz="1400" b="1" baseline="0">
              <a:solidFill>
                <a:schemeClr val="accent1"/>
              </a:solidFill>
            </a:rPr>
            <a:t> HIGHEST INDIVIDUAL ORDER VALUE WAS 120000.                                                                       </a:t>
          </a:r>
          <a:r>
            <a:rPr lang="en-IN" sz="1800" b="1" baseline="0">
              <a:solidFill>
                <a:schemeClr val="accent1"/>
              </a:solidFill>
            </a:rPr>
            <a:t>7</a:t>
          </a:r>
          <a:r>
            <a:rPr lang="en-IN" sz="1400" b="1" baseline="0">
              <a:solidFill>
                <a:schemeClr val="accent1"/>
              </a:solidFill>
            </a:rPr>
            <a:t>. PENDING AND CANCELLED ORDERS TOGETHER REPRESENTED 20% OF ALL ORDERS.</a:t>
          </a:r>
          <a:endParaRPr lang="en-IN" sz="1400">
            <a:solidFill>
              <a:schemeClr val="accent1"/>
            </a:solidFill>
          </a:endParaRPr>
        </a:p>
        <a:p>
          <a:pPr algn="l"/>
          <a:endParaRPr lang="en-IN" sz="1400">
            <a:solidFill>
              <a:schemeClr val="accent1"/>
            </a:solidFill>
          </a:endParaRPr>
        </a:p>
        <a:p>
          <a:pPr algn="l"/>
          <a:r>
            <a:rPr lang="en-IN" sz="1800">
              <a:solidFill>
                <a:schemeClr val="accent1"/>
              </a:solidFill>
            </a:rPr>
            <a:t>4</a:t>
          </a:r>
          <a:r>
            <a:rPr lang="en-IN" sz="1400">
              <a:solidFill>
                <a:schemeClr val="accent1"/>
              </a:solidFill>
            </a:rPr>
            <a:t>. </a:t>
          </a:r>
          <a:r>
            <a:rPr lang="en-IN" sz="1400" b="1">
              <a:solidFill>
                <a:schemeClr val="accent1"/>
              </a:solidFill>
            </a:rPr>
            <a:t>ELECTRONICS</a:t>
          </a:r>
          <a:r>
            <a:rPr lang="en-IN" sz="1400" b="1" baseline="0">
              <a:solidFill>
                <a:schemeClr val="accent1"/>
              </a:solidFill>
            </a:rPr>
            <a:t> GENERATED 360000 THE HIGHEST CAREGORY SALES.</a:t>
          </a:r>
          <a:endParaRPr lang="en-IN" sz="1500"/>
        </a:p>
      </xdr:txBody>
    </xdr:sp>
    <xdr:clientData/>
  </xdr:twoCellAnchor>
  <xdr:twoCellAnchor>
    <xdr:from>
      <xdr:col>16</xdr:col>
      <xdr:colOff>518160</xdr:colOff>
      <xdr:row>57</xdr:row>
      <xdr:rowOff>45720</xdr:rowOff>
    </xdr:from>
    <xdr:to>
      <xdr:col>16</xdr:col>
      <xdr:colOff>518160</xdr:colOff>
      <xdr:row>66</xdr:row>
      <xdr:rowOff>30480</xdr:rowOff>
    </xdr:to>
    <xdr:cxnSp macro="">
      <xdr:nvCxnSpPr>
        <xdr:cNvPr id="30" name="Straight Connector 29">
          <a:extLst>
            <a:ext uri="{FF2B5EF4-FFF2-40B4-BE49-F238E27FC236}">
              <a16:creationId xmlns:a16="http://schemas.microsoft.com/office/drawing/2014/main" id="{F69E425C-1D16-4011-8D92-21D72E3CFBDE}"/>
            </a:ext>
          </a:extLst>
        </xdr:cNvPr>
        <xdr:cNvCxnSpPr/>
      </xdr:nvCxnSpPr>
      <xdr:spPr>
        <a:xfrm>
          <a:off x="10332720" y="10469880"/>
          <a:ext cx="0" cy="1630680"/>
        </a:xfrm>
        <a:prstGeom prst="line">
          <a:avLst/>
        </a:prstGeo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396240</xdr:colOff>
      <xdr:row>3</xdr:row>
      <xdr:rowOff>76200</xdr:rowOff>
    </xdr:from>
    <xdr:to>
      <xdr:col>3</xdr:col>
      <xdr:colOff>586175</xdr:colOff>
      <xdr:row>7</xdr:row>
      <xdr:rowOff>152400</xdr:rowOff>
    </xdr:to>
    <xdr:pic>
      <xdr:nvPicPr>
        <xdr:cNvPr id="33" name="Picture 32">
          <a:extLst>
            <a:ext uri="{FF2B5EF4-FFF2-40B4-BE49-F238E27FC236}">
              <a16:creationId xmlns:a16="http://schemas.microsoft.com/office/drawing/2014/main" id="{0E9032E5-BF0A-8750-C73D-6A20E353F3C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76400" y="624840"/>
          <a:ext cx="799535" cy="80772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krishna" refreshedDate="46303.413348495371" createdVersion="8" refreshedVersion="8" minRefreshableVersion="3" recordCount="15" xr:uid="{72886FEB-D586-4D69-9DEA-3267DA1617B8}">
  <cacheSource type="worksheet">
    <worksheetSource name="Table13"/>
  </cacheSource>
  <cacheFields count="14">
    <cacheField name="Order ID" numFmtId="0">
      <sharedItems containsSemiMixedTypes="0" containsString="0" containsNumber="1" containsInteger="1" minValue="5001" maxValue="5015"/>
    </cacheField>
    <cacheField name="Customer" numFmtId="0">
      <sharedItems/>
    </cacheField>
    <cacheField name="Product" numFmtId="0">
      <sharedItems count="6">
        <s v="Laptop"/>
        <s v="Mouse"/>
        <s v="Monitor"/>
        <s v="Keyboard"/>
        <s v="Printer"/>
        <s v="Headphones"/>
      </sharedItems>
    </cacheField>
    <cacheField name="Category" numFmtId="0">
      <sharedItems count="3">
        <s v="Electronics"/>
        <s v="Accessories"/>
        <s v="Office"/>
      </sharedItems>
    </cacheField>
    <cacheField name="Region" numFmtId="0">
      <sharedItems count="4">
        <s v="Hyderabad"/>
        <s v="Chennai"/>
        <s v="Bengaluru"/>
        <s v="Mumbai"/>
      </sharedItems>
    </cacheField>
    <cacheField name="Quantity" numFmtId="0">
      <sharedItems containsSemiMixedTypes="0" containsString="0" containsNumber="1" containsInteger="1" minValue="1" maxValue="10"/>
    </cacheField>
    <cacheField name="Unit Price" numFmtId="164">
      <sharedItems containsSemiMixedTypes="0" containsString="0" containsNumber="1" containsInteger="1" minValue="800" maxValue="60000"/>
    </cacheField>
    <cacheField name="Sales" numFmtId="164">
      <sharedItems containsSemiMixedTypes="0" containsString="0" containsNumber="1" containsInteger="1" minValue="4000" maxValue="120000" count="12">
        <n v="60000"/>
        <n v="4000"/>
        <n v="40000"/>
        <n v="5400"/>
        <n v="15000"/>
        <n v="120000"/>
        <n v="12000"/>
        <n v="30000"/>
        <n v="8000"/>
        <n v="20000"/>
        <n v="7200"/>
        <n v="45000"/>
      </sharedItems>
    </cacheField>
    <cacheField name="Payment Method" numFmtId="0">
      <sharedItems count="3">
        <s v="UPI"/>
        <s v="Card"/>
        <s v="Cash"/>
      </sharedItems>
    </cacheField>
    <cacheField name="Order Status" numFmtId="0">
      <sharedItems count="3">
        <s v="Delivered"/>
        <s v="Pending"/>
        <s v="Cancelled"/>
      </sharedItems>
    </cacheField>
    <cacheField name="Order Date" numFmtId="14">
      <sharedItems containsSemiMixedTypes="0" containsNonDate="0" containsDate="1" containsString="0" minDate="2026-09-01T00:00:00" maxDate="2026-09-16T00:00:00" count="15">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sharedItems>
    </cacheField>
    <cacheField name="Sales Category" numFmtId="0">
      <sharedItems count="2">
        <s v="High Value"/>
        <s v="Normal"/>
      </sharedItems>
    </cacheField>
    <cacheField name="Quantity Category" numFmtId="0">
      <sharedItems/>
    </cacheField>
    <cacheField name="Priority Order" numFmtId="0">
      <sharedItems/>
    </cacheField>
  </cacheFields>
  <extLst>
    <ext xmlns:x14="http://schemas.microsoft.com/office/spreadsheetml/2009/9/main" uri="{725AE2AE-9491-48be-B2B4-4EB974FC3084}">
      <x14:pivotCacheDefinition pivotCacheId="1275685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krishna" refreshedDate="46305.349157060184" createdVersion="8" refreshedVersion="8" minRefreshableVersion="3" recordCount="15" xr:uid="{2BE2FD54-0B25-4904-8AE6-09964E4D24A0}">
  <cacheSource type="worksheet">
    <worksheetSource ref="G23:H38" sheet="Sheet2"/>
  </cacheSource>
  <cacheFields count="2">
    <cacheField name="Order Date" numFmtId="14">
      <sharedItems containsSemiMixedTypes="0" containsNonDate="0" containsDate="1" containsString="0" minDate="2026-09-01T00:00:00" maxDate="2026-09-16T00:00:00" count="15">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sharedItems>
    </cacheField>
    <cacheField name="Sales" numFmtId="164">
      <sharedItems containsSemiMixedTypes="0" containsString="0" containsNumber="1" containsInteger="1" minValue="4000" maxValue="120000" count="12">
        <n v="60000"/>
        <n v="4000"/>
        <n v="40000"/>
        <n v="5400"/>
        <n v="15000"/>
        <n v="120000"/>
        <n v="12000"/>
        <n v="30000"/>
        <n v="8000"/>
        <n v="20000"/>
        <n v="7200"/>
        <n v="4500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5001"/>
    <s v="Ravi"/>
    <x v="0"/>
    <x v="0"/>
    <x v="0"/>
    <n v="1"/>
    <n v="60000"/>
    <x v="0"/>
    <x v="0"/>
    <x v="0"/>
    <x v="0"/>
    <x v="0"/>
    <s v="Regular"/>
    <s v="Priority"/>
  </r>
  <r>
    <n v="5002"/>
    <s v="Priya"/>
    <x v="1"/>
    <x v="1"/>
    <x v="1"/>
    <n v="5"/>
    <n v="800"/>
    <x v="1"/>
    <x v="1"/>
    <x v="0"/>
    <x v="1"/>
    <x v="1"/>
    <s v="Bulk"/>
    <s v="Normal"/>
  </r>
  <r>
    <n v="5003"/>
    <s v="Arjun"/>
    <x v="2"/>
    <x v="0"/>
    <x v="2"/>
    <n v="2"/>
    <n v="20000"/>
    <x v="2"/>
    <x v="0"/>
    <x v="0"/>
    <x v="2"/>
    <x v="1"/>
    <s v="Regular"/>
    <s v="Normal"/>
  </r>
  <r>
    <n v="5004"/>
    <s v="Sneha"/>
    <x v="3"/>
    <x v="1"/>
    <x v="0"/>
    <n v="3"/>
    <n v="1800"/>
    <x v="3"/>
    <x v="2"/>
    <x v="1"/>
    <x v="3"/>
    <x v="1"/>
    <s v="Regular"/>
    <s v="Normal"/>
  </r>
  <r>
    <n v="5005"/>
    <s v="Kiran"/>
    <x v="4"/>
    <x v="2"/>
    <x v="1"/>
    <n v="1"/>
    <n v="15000"/>
    <x v="4"/>
    <x v="0"/>
    <x v="0"/>
    <x v="4"/>
    <x v="1"/>
    <s v="Regular"/>
    <s v="Normal"/>
  </r>
  <r>
    <n v="5006"/>
    <s v="Anjali"/>
    <x v="0"/>
    <x v="0"/>
    <x v="3"/>
    <n v="2"/>
    <n v="60000"/>
    <x v="5"/>
    <x v="1"/>
    <x v="0"/>
    <x v="5"/>
    <x v="0"/>
    <s v="Regular"/>
    <s v="Priority"/>
  </r>
  <r>
    <n v="5007"/>
    <s v="Rahul"/>
    <x v="5"/>
    <x v="1"/>
    <x v="0"/>
    <n v="4"/>
    <n v="3000"/>
    <x v="6"/>
    <x v="0"/>
    <x v="2"/>
    <x v="6"/>
    <x v="1"/>
    <s v="Regular"/>
    <s v="Normal"/>
  </r>
  <r>
    <n v="5008"/>
    <s v="Divya"/>
    <x v="4"/>
    <x v="2"/>
    <x v="2"/>
    <n v="2"/>
    <n v="15000"/>
    <x v="7"/>
    <x v="2"/>
    <x v="0"/>
    <x v="7"/>
    <x v="1"/>
    <s v="Regular"/>
    <s v="Normal"/>
  </r>
  <r>
    <n v="5009"/>
    <s v="Suresh"/>
    <x v="1"/>
    <x v="1"/>
    <x v="3"/>
    <n v="10"/>
    <n v="800"/>
    <x v="8"/>
    <x v="0"/>
    <x v="0"/>
    <x v="8"/>
    <x v="1"/>
    <s v="Bulk"/>
    <s v="Normal"/>
  </r>
  <r>
    <n v="5010"/>
    <s v="Meena"/>
    <x v="2"/>
    <x v="0"/>
    <x v="1"/>
    <n v="1"/>
    <n v="20000"/>
    <x v="9"/>
    <x v="1"/>
    <x v="1"/>
    <x v="9"/>
    <x v="1"/>
    <s v="Regular"/>
    <s v="Normal"/>
  </r>
  <r>
    <n v="5011"/>
    <s v="Vamsi"/>
    <x v="0"/>
    <x v="0"/>
    <x v="0"/>
    <n v="1"/>
    <n v="60000"/>
    <x v="0"/>
    <x v="0"/>
    <x v="0"/>
    <x v="10"/>
    <x v="0"/>
    <s v="Regular"/>
    <s v="Priority"/>
  </r>
  <r>
    <n v="5012"/>
    <s v="Pooja"/>
    <x v="3"/>
    <x v="1"/>
    <x v="3"/>
    <n v="4"/>
    <n v="1800"/>
    <x v="10"/>
    <x v="2"/>
    <x v="0"/>
    <x v="11"/>
    <x v="1"/>
    <s v="Regular"/>
    <s v="Normal"/>
  </r>
  <r>
    <n v="5013"/>
    <s v="Naveen"/>
    <x v="4"/>
    <x v="2"/>
    <x v="0"/>
    <n v="3"/>
    <n v="15000"/>
    <x v="11"/>
    <x v="0"/>
    <x v="0"/>
    <x v="12"/>
    <x v="1"/>
    <s v="Regular"/>
    <s v="Normal"/>
  </r>
  <r>
    <n v="5014"/>
    <s v="Asha"/>
    <x v="2"/>
    <x v="0"/>
    <x v="2"/>
    <n v="3"/>
    <n v="20000"/>
    <x v="0"/>
    <x v="1"/>
    <x v="0"/>
    <x v="13"/>
    <x v="0"/>
    <s v="Regular"/>
    <s v="Priority"/>
  </r>
  <r>
    <n v="5015"/>
    <s v="Varun"/>
    <x v="0"/>
    <x v="0"/>
    <x v="1"/>
    <n v="1"/>
    <n v="60000"/>
    <x v="0"/>
    <x v="0"/>
    <x v="0"/>
    <x v="14"/>
    <x v="0"/>
    <s v="Regular"/>
    <s v="Priorit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r>
  <r>
    <x v="1"/>
    <x v="1"/>
  </r>
  <r>
    <x v="2"/>
    <x v="2"/>
  </r>
  <r>
    <x v="3"/>
    <x v="3"/>
  </r>
  <r>
    <x v="4"/>
    <x v="4"/>
  </r>
  <r>
    <x v="5"/>
    <x v="5"/>
  </r>
  <r>
    <x v="6"/>
    <x v="6"/>
  </r>
  <r>
    <x v="7"/>
    <x v="7"/>
  </r>
  <r>
    <x v="8"/>
    <x v="8"/>
  </r>
  <r>
    <x v="9"/>
    <x v="9"/>
  </r>
  <r>
    <x v="10"/>
    <x v="0"/>
  </r>
  <r>
    <x v="11"/>
    <x v="10"/>
  </r>
  <r>
    <x v="12"/>
    <x v="11"/>
  </r>
  <r>
    <x v="13"/>
    <x v="0"/>
  </r>
  <r>
    <x v="1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CE4B93-9C40-414A-8460-695C38C37FB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4">
    <pivotField dataField="1" showAll="0"/>
    <pivotField showAll="0"/>
    <pivotField showAll="0"/>
    <pivotField showAll="0"/>
    <pivotField showAll="0">
      <items count="5">
        <item x="2"/>
        <item x="1"/>
        <item x="0"/>
        <item x="3"/>
        <item t="default"/>
      </items>
    </pivotField>
    <pivotField dataField="1" showAll="0"/>
    <pivotField numFmtId="164" showAll="0"/>
    <pivotField dataField="1" numFmtId="164" showAll="0"/>
    <pivotField showAll="0">
      <items count="4">
        <item x="1"/>
        <item x="2"/>
        <item x="0"/>
        <item t="default"/>
      </items>
    </pivotField>
    <pivotField showAll="0"/>
    <pivotField numFmtId="14" showAll="0"/>
    <pivotField showAll="0">
      <items count="3">
        <item x="0"/>
        <item x="1"/>
        <item t="default"/>
      </items>
    </pivotField>
    <pivotField showAll="0"/>
    <pivotField showAll="0"/>
  </pivotFields>
  <rowItems count="1">
    <i/>
  </rowItems>
  <colFields count="1">
    <field x="-2"/>
  </colFields>
  <colItems count="4">
    <i>
      <x/>
    </i>
    <i i="1">
      <x v="1"/>
    </i>
    <i i="2">
      <x v="2"/>
    </i>
    <i i="3">
      <x v="3"/>
    </i>
  </colItems>
  <dataFields count="4">
    <dataField name="Sum of Sales" fld="7" baseField="0" baseItem="0" numFmtId="164"/>
    <dataField name="Sum of Quantity" fld="5" baseField="0" baseItem="0"/>
    <dataField name="Count of Order ID" fld="0" subtotal="count" baseField="0" baseItem="1"/>
    <dataField name="Average of Sales2" fld="7" subtotal="average" baseField="0" baseItem="2"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1AD6F7-3551-4CE1-AE3D-6C11CBBAEF8E}"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A3:B19" firstHeaderRow="1" firstDataRow="1" firstDataCol="1"/>
  <pivotFields count="2">
    <pivotField axis="axisRow" compact="0" numFmtId="14" outline="0" showAll="0">
      <items count="16">
        <item x="0"/>
        <item x="1"/>
        <item x="2"/>
        <item x="3"/>
        <item x="4"/>
        <item x="5"/>
        <item x="6"/>
        <item x="7"/>
        <item x="8"/>
        <item x="9"/>
        <item x="10"/>
        <item x="11"/>
        <item x="12"/>
        <item x="13"/>
        <item x="14"/>
        <item t="default"/>
      </items>
    </pivotField>
    <pivotField dataField="1" compact="0" numFmtId="164" outline="0" showAl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Sales" fld="1" baseField="0" baseItem="0" numFmtId="164"/>
  </dataFields>
  <chartFormats count="2">
    <chartFormat chart="13"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56326A-E6B2-4153-B39E-B5224FCEA4E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8" firstHeaderRow="1" firstDataRow="1" firstDataCol="1"/>
  <pivotFields count="14">
    <pivotField showAll="0"/>
    <pivotField showAll="0"/>
    <pivotField axis="axisRow" showAll="0">
      <items count="7">
        <item x="5"/>
        <item x="3"/>
        <item x="0"/>
        <item x="2"/>
        <item x="1"/>
        <item x="4"/>
        <item t="default"/>
      </items>
    </pivotField>
    <pivotField showAll="0">
      <items count="4">
        <item x="1"/>
        <item x="0"/>
        <item x="2"/>
        <item t="default"/>
      </items>
    </pivotField>
    <pivotField showAll="0"/>
    <pivotField dataField="1" showAll="0"/>
    <pivotField numFmtId="164" showAll="0"/>
    <pivotField numFmtId="164" showAll="0"/>
    <pivotField showAll="0"/>
    <pivotField showAll="0"/>
    <pivotField numFmtId="14" showAll="0"/>
    <pivotField showAll="0"/>
    <pivotField showAll="0"/>
    <pivotField showAll="0"/>
  </pivotFields>
  <rowFields count="1">
    <field x="2"/>
  </rowFields>
  <rowItems count="7">
    <i>
      <x/>
    </i>
    <i>
      <x v="1"/>
    </i>
    <i>
      <x v="2"/>
    </i>
    <i>
      <x v="3"/>
    </i>
    <i>
      <x v="4"/>
    </i>
    <i>
      <x v="5"/>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7FB0E6-CD81-4D10-8971-67390E4D09F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8" firstHeaderRow="1" firstDataRow="1" firstDataCol="1"/>
  <pivotFields count="14">
    <pivotField showAll="0"/>
    <pivotField showAll="0"/>
    <pivotField axis="axisRow" showAll="0">
      <items count="7">
        <item x="5"/>
        <item x="3"/>
        <item x="0"/>
        <item x="2"/>
        <item x="1"/>
        <item x="4"/>
        <item t="default"/>
      </items>
    </pivotField>
    <pivotField showAll="0">
      <items count="4">
        <item x="1"/>
        <item x="0"/>
        <item x="2"/>
        <item t="default"/>
      </items>
    </pivotField>
    <pivotField showAll="0">
      <items count="5">
        <item x="2"/>
        <item x="1"/>
        <item x="0"/>
        <item x="3"/>
        <item t="default"/>
      </items>
    </pivotField>
    <pivotField showAll="0"/>
    <pivotField numFmtId="164" showAll="0"/>
    <pivotField dataField="1" numFmtId="164" showAll="0"/>
    <pivotField showAll="0">
      <items count="4">
        <item x="1"/>
        <item x="2"/>
        <item x="0"/>
        <item t="default"/>
      </items>
    </pivotField>
    <pivotField showAll="0">
      <items count="4">
        <item x="2"/>
        <item x="0"/>
        <item x="1"/>
        <item t="default"/>
      </items>
    </pivotField>
    <pivotField numFmtId="14" showAll="0"/>
    <pivotField showAll="0"/>
    <pivotField showAll="0"/>
    <pivotField showAll="0"/>
  </pivotFields>
  <rowFields count="1">
    <field x="2"/>
  </rowFields>
  <rowItems count="7">
    <i>
      <x/>
    </i>
    <i>
      <x v="1"/>
    </i>
    <i>
      <x v="2"/>
    </i>
    <i>
      <x v="3"/>
    </i>
    <i>
      <x v="4"/>
    </i>
    <i>
      <x v="5"/>
    </i>
    <i t="grand">
      <x/>
    </i>
  </rowItems>
  <colItems count="1">
    <i/>
  </colItems>
  <dataFields count="1">
    <dataField name="Sum of Sales" fld="7" baseField="0" baseItem="0" numFmtId="164"/>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F1233D-5832-4883-806D-9525D8F536E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1:N5" firstHeaderRow="1" firstDataRow="1" firstDataCol="1"/>
  <pivotFields count="14">
    <pivotField dataField="1" showAll="0"/>
    <pivotField showAll="0"/>
    <pivotField showAll="0">
      <items count="7">
        <item x="5"/>
        <item x="3"/>
        <item x="0"/>
        <item x="2"/>
        <item x="1"/>
        <item x="4"/>
        <item t="default"/>
      </items>
    </pivotField>
    <pivotField showAll="0">
      <items count="4">
        <item x="1"/>
        <item x="0"/>
        <item x="2"/>
        <item t="default"/>
      </items>
    </pivotField>
    <pivotField showAll="0">
      <items count="5">
        <item x="2"/>
        <item x="1"/>
        <item x="0"/>
        <item x="3"/>
        <item t="default"/>
      </items>
    </pivotField>
    <pivotField showAll="0"/>
    <pivotField numFmtId="164" showAll="0"/>
    <pivotField numFmtId="164" showAll="0"/>
    <pivotField showAll="0">
      <items count="4">
        <item x="1"/>
        <item x="2"/>
        <item x="0"/>
        <item t="default"/>
      </items>
    </pivotField>
    <pivotField axis="axisRow" showAll="0">
      <items count="4">
        <item x="2"/>
        <item x="0"/>
        <item x="1"/>
        <item t="default"/>
      </items>
    </pivotField>
    <pivotField numFmtId="14" showAll="0"/>
    <pivotField showAll="0"/>
    <pivotField showAll="0"/>
    <pivotField showAll="0"/>
  </pivotFields>
  <rowFields count="1">
    <field x="9"/>
  </rowFields>
  <rowItems count="4">
    <i>
      <x/>
    </i>
    <i>
      <x v="1"/>
    </i>
    <i>
      <x v="2"/>
    </i>
    <i t="grand">
      <x/>
    </i>
  </rowItems>
  <colItems count="1">
    <i/>
  </colItems>
  <dataFields count="1">
    <dataField name="Count of Order ID" fld="0" subtotal="count" baseField="9" baseItem="0"/>
  </dataFields>
  <chartFormats count="2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9" count="1" selected="0">
            <x v="0"/>
          </reference>
        </references>
      </pivotArea>
    </chartFormat>
    <chartFormat chart="1" format="3">
      <pivotArea type="data" outline="0" fieldPosition="0">
        <references count="2">
          <reference field="4294967294" count="1" selected="0">
            <x v="0"/>
          </reference>
          <reference field="9" count="1" selected="0">
            <x v="1"/>
          </reference>
        </references>
      </pivotArea>
    </chartFormat>
    <chartFormat chart="1" format="4">
      <pivotArea type="data" outline="0" fieldPosition="0">
        <references count="2">
          <reference field="4294967294" count="1" selected="0">
            <x v="0"/>
          </reference>
          <reference field="9"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9" count="1" selected="0">
            <x v="0"/>
          </reference>
        </references>
      </pivotArea>
    </chartFormat>
    <chartFormat chart="2" format="7">
      <pivotArea type="data" outline="0" fieldPosition="0">
        <references count="2">
          <reference field="4294967294" count="1" selected="0">
            <x v="0"/>
          </reference>
          <reference field="9" count="1" selected="0">
            <x v="1"/>
          </reference>
        </references>
      </pivotArea>
    </chartFormat>
    <chartFormat chart="2" format="8">
      <pivotArea type="data" outline="0" fieldPosition="0">
        <references count="2">
          <reference field="4294967294" count="1" selected="0">
            <x v="0"/>
          </reference>
          <reference field="9" count="1" selected="0">
            <x v="2"/>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9" count="1" selected="0">
            <x v="0"/>
          </reference>
        </references>
      </pivotArea>
    </chartFormat>
    <chartFormat chart="4" format="6">
      <pivotArea type="data" outline="0" fieldPosition="0">
        <references count="2">
          <reference field="4294967294" count="1" selected="0">
            <x v="0"/>
          </reference>
          <reference field="9" count="1" selected="0">
            <x v="1"/>
          </reference>
        </references>
      </pivotArea>
    </chartFormat>
    <chartFormat chart="4" format="7">
      <pivotArea type="data" outline="0" fieldPosition="0">
        <references count="2">
          <reference field="4294967294" count="1" selected="0">
            <x v="0"/>
          </reference>
          <reference field="9"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9" count="1" selected="0">
            <x v="0"/>
          </reference>
        </references>
      </pivotArea>
    </chartFormat>
    <chartFormat chart="5" format="10">
      <pivotArea type="data" outline="0" fieldPosition="0">
        <references count="2">
          <reference field="4294967294" count="1" selected="0">
            <x v="0"/>
          </reference>
          <reference field="9" count="1" selected="0">
            <x v="1"/>
          </reference>
        </references>
      </pivotArea>
    </chartFormat>
    <chartFormat chart="5"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94397D-82A1-4A71-BF24-27C33D5B02A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Z1:AA17" firstHeaderRow="1" firstDataRow="1" firstDataCol="1"/>
  <pivotFields count="14">
    <pivotField showAll="0"/>
    <pivotField showAll="0"/>
    <pivotField showAll="0">
      <items count="7">
        <item x="5"/>
        <item x="3"/>
        <item x="0"/>
        <item x="2"/>
        <item x="1"/>
        <item x="4"/>
        <item t="default"/>
      </items>
    </pivotField>
    <pivotField showAll="0">
      <items count="4">
        <item x="1"/>
        <item x="0"/>
        <item x="2"/>
        <item t="default"/>
      </items>
    </pivotField>
    <pivotField showAll="0"/>
    <pivotField showAll="0"/>
    <pivotField numFmtId="164" showAll="0"/>
    <pivotField dataField="1" numFmtId="164" showAll="0"/>
    <pivotField showAll="0"/>
    <pivotField showAll="0"/>
    <pivotField axis="axisRow" numFmtId="14" showAll="0">
      <items count="16">
        <item x="0"/>
        <item x="1"/>
        <item x="2"/>
        <item x="3"/>
        <item x="4"/>
        <item x="5"/>
        <item x="6"/>
        <item x="7"/>
        <item x="8"/>
        <item x="9"/>
        <item x="10"/>
        <item x="11"/>
        <item x="12"/>
        <item x="13"/>
        <item x="14"/>
        <item t="default"/>
      </items>
    </pivotField>
    <pivotField showAll="0"/>
    <pivotField showAll="0"/>
    <pivotField showAll="0"/>
  </pivotFields>
  <rowFields count="1">
    <field x="10"/>
  </rowFields>
  <rowItems count="16">
    <i>
      <x/>
    </i>
    <i>
      <x v="1"/>
    </i>
    <i>
      <x v="2"/>
    </i>
    <i>
      <x v="3"/>
    </i>
    <i>
      <x v="4"/>
    </i>
    <i>
      <x v="5"/>
    </i>
    <i>
      <x v="6"/>
    </i>
    <i>
      <x v="7"/>
    </i>
    <i>
      <x v="8"/>
    </i>
    <i>
      <x v="9"/>
    </i>
    <i>
      <x v="10"/>
    </i>
    <i>
      <x v="11"/>
    </i>
    <i>
      <x v="12"/>
    </i>
    <i>
      <x v="13"/>
    </i>
    <i>
      <x v="14"/>
    </i>
    <i t="grand">
      <x/>
    </i>
  </rowItems>
  <colItems count="1">
    <i/>
  </colItems>
  <dataFields count="1">
    <dataField name="Sum of Sales" fld="7"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96C926-FEB7-43B9-96EA-5903C1A7109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1:K5" firstHeaderRow="1" firstDataRow="1" firstDataCol="1"/>
  <pivotFields count="14">
    <pivotField dataField="1" showAll="0"/>
    <pivotField showAll="0"/>
    <pivotField showAll="0">
      <items count="7">
        <item x="5"/>
        <item x="3"/>
        <item x="0"/>
        <item x="2"/>
        <item x="1"/>
        <item x="4"/>
        <item t="default"/>
      </items>
    </pivotField>
    <pivotField showAll="0">
      <items count="4">
        <item x="1"/>
        <item x="0"/>
        <item x="2"/>
        <item t="default"/>
      </items>
    </pivotField>
    <pivotField showAll="0">
      <items count="5">
        <item x="2"/>
        <item x="1"/>
        <item x="0"/>
        <item x="3"/>
        <item t="default"/>
      </items>
    </pivotField>
    <pivotField showAll="0"/>
    <pivotField numFmtId="164" showAll="0"/>
    <pivotField numFmtId="164" showAll="0"/>
    <pivotField axis="axisRow" showAll="0">
      <items count="4">
        <item x="1"/>
        <item x="2"/>
        <item x="0"/>
        <item t="default"/>
      </items>
    </pivotField>
    <pivotField showAll="0">
      <items count="4">
        <item x="2"/>
        <item x="0"/>
        <item x="1"/>
        <item t="default"/>
      </items>
    </pivotField>
    <pivotField numFmtId="14" showAll="0"/>
    <pivotField showAll="0"/>
    <pivotField showAll="0"/>
    <pivotField showAll="0"/>
  </pivotFields>
  <rowFields count="1">
    <field x="8"/>
  </rowFields>
  <rowItems count="4">
    <i>
      <x/>
    </i>
    <i>
      <x v="1"/>
    </i>
    <i>
      <x v="2"/>
    </i>
    <i t="grand">
      <x/>
    </i>
  </rowItems>
  <colItems count="1">
    <i/>
  </colItems>
  <dataFields count="1">
    <dataField name="Count of Order ID" fld="0" subtotal="count" baseField="8" baseItem="0"/>
  </dataFields>
  <chartFormats count="16">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8" count="1" selected="0">
            <x v="0"/>
          </reference>
        </references>
      </pivotArea>
    </chartFormat>
    <chartFormat chart="3" format="7">
      <pivotArea type="data" outline="0" fieldPosition="0">
        <references count="2">
          <reference field="4294967294" count="1" selected="0">
            <x v="0"/>
          </reference>
          <reference field="8" count="1" selected="0">
            <x v="1"/>
          </reference>
        </references>
      </pivotArea>
    </chartFormat>
    <chartFormat chart="3" format="8">
      <pivotArea type="data" outline="0" fieldPosition="0">
        <references count="2">
          <reference field="4294967294" count="1" selected="0">
            <x v="0"/>
          </reference>
          <reference field="8" count="1" selected="0">
            <x v="2"/>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5"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8" count="1" selected="0">
            <x v="0"/>
          </reference>
        </references>
      </pivotArea>
    </chartFormat>
    <chartFormat chart="8" format="7">
      <pivotArea type="data" outline="0" fieldPosition="0">
        <references count="2">
          <reference field="4294967294" count="1" selected="0">
            <x v="0"/>
          </reference>
          <reference field="8" count="1" selected="0">
            <x v="1"/>
          </reference>
        </references>
      </pivotArea>
    </chartFormat>
    <chartFormat chart="8" format="8">
      <pivotArea type="data" outline="0" fieldPosition="0">
        <references count="2">
          <reference field="4294967294" count="1" selected="0">
            <x v="0"/>
          </reference>
          <reference field="8" count="1" selected="0">
            <x v="2"/>
          </reference>
        </references>
      </pivotArea>
    </chartFormat>
    <chartFormat chart="5" format="1">
      <pivotArea type="data" outline="0" fieldPosition="0">
        <references count="2">
          <reference field="4294967294" count="1" selected="0">
            <x v="0"/>
          </reference>
          <reference field="8" count="1" selected="0">
            <x v="0"/>
          </reference>
        </references>
      </pivotArea>
    </chartFormat>
    <chartFormat chart="5" format="2">
      <pivotArea type="data" outline="0" fieldPosition="0">
        <references count="2">
          <reference field="4294967294" count="1" selected="0">
            <x v="0"/>
          </reference>
          <reference field="8" count="1" selected="0">
            <x v="1"/>
          </reference>
        </references>
      </pivotArea>
    </chartFormat>
    <chartFormat chart="5"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D8F10F-37BF-44AA-BCC3-118F1120405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H6" firstHeaderRow="1" firstDataRow="1" firstDataCol="1"/>
  <pivotFields count="14">
    <pivotField showAll="0"/>
    <pivotField showAll="0"/>
    <pivotField showAll="0">
      <items count="7">
        <item x="5"/>
        <item x="3"/>
        <item x="0"/>
        <item x="2"/>
        <item x="1"/>
        <item x="4"/>
        <item t="default"/>
      </items>
    </pivotField>
    <pivotField showAll="0">
      <items count="4">
        <item x="1"/>
        <item x="0"/>
        <item x="2"/>
        <item t="default"/>
      </items>
    </pivotField>
    <pivotField axis="axisRow" showAll="0">
      <items count="5">
        <item x="2"/>
        <item x="1"/>
        <item x="0"/>
        <item x="3"/>
        <item t="default"/>
      </items>
    </pivotField>
    <pivotField showAll="0"/>
    <pivotField numFmtId="164" showAll="0"/>
    <pivotField dataField="1" numFmtId="164" showAll="0"/>
    <pivotField showAll="0">
      <items count="4">
        <item x="1"/>
        <item x="2"/>
        <item x="0"/>
        <item t="default"/>
      </items>
    </pivotField>
    <pivotField showAll="0">
      <items count="4">
        <item x="2"/>
        <item x="0"/>
        <item x="1"/>
        <item t="default"/>
      </items>
    </pivotField>
    <pivotField numFmtId="14" showAll="0"/>
    <pivotField showAll="0"/>
    <pivotField showAll="0"/>
    <pivotField showAll="0"/>
  </pivotFields>
  <rowFields count="1">
    <field x="4"/>
  </rowFields>
  <rowItems count="5">
    <i>
      <x/>
    </i>
    <i>
      <x v="1"/>
    </i>
    <i>
      <x v="2"/>
    </i>
    <i>
      <x v="3"/>
    </i>
    <i t="grand">
      <x/>
    </i>
  </rowItems>
  <colItems count="1">
    <i/>
  </colItems>
  <dataFields count="1">
    <dataField name="Sum of Sales" fld="7" baseField="0" baseItem="0" numFmtId="164"/>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6E6B934-BB5F-488C-A309-C2D297A4E792}" sourceName="Product">
  <pivotTables>
    <pivotTable tabId="4" name="PivotTable2"/>
    <pivotTable tabId="4" name="PivotTable5"/>
    <pivotTable tabId="4" name="PivotTable4"/>
    <pivotTable tabId="4" name="PivotTable3"/>
    <pivotTable tabId="4" name="PivotTable1"/>
    <pivotTable tabId="4" name="PivotTable7"/>
  </pivotTables>
  <data>
    <tabular pivotCacheId="127568539">
      <items count="6">
        <i x="5" s="1"/>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022FBD18-AAD6-4D3B-A051-26D4480E4B4D}" sourceName="Region">
  <pivotTables>
    <pivotTable tabId="4" name="PivotTable3"/>
    <pivotTable tabId="4" name="PivotTable1"/>
    <pivotTable tabId="4" name="PivotTable4"/>
    <pivotTable tabId="4" name="PivotTable5"/>
  </pivotTables>
  <data>
    <tabular pivotCacheId="127568539">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496E4B9-FFCE-4650-8F9B-86222E15C2F1}" sourceName="Payment Method">
  <pivotTables>
    <pivotTable tabId="4" name="PivotTable4"/>
    <pivotTable tabId="4" name="PivotTable1"/>
    <pivotTable tabId="4" name="PivotTable3"/>
    <pivotTable tabId="4" name="PivotTable5"/>
  </pivotTables>
  <data>
    <tabular pivotCacheId="127568539">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528A6A63-55E6-4A43-90D1-BAD40177E54F}" sourceName="Order Status">
  <pivotTables>
    <pivotTable tabId="4" name="PivotTable5"/>
    <pivotTable tabId="4" name="PivotTable1"/>
    <pivotTable tabId="4" name="PivotTable3"/>
    <pivotTable tabId="4" name="PivotTable4"/>
  </pivotTables>
  <data>
    <tabular pivotCacheId="127568539">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F9220D5-4AB0-4AAE-89F5-3ED14AF20AB1}" sourceName="Category">
  <pivotTables>
    <pivotTable tabId="4" name="PivotTable1"/>
    <pivotTable tabId="4" name="PivotTable2"/>
    <pivotTable tabId="4" name="PivotTable3"/>
    <pivotTable tabId="4" name="PivotTable4"/>
    <pivotTable tabId="4" name="PivotTable5"/>
    <pivotTable tabId="4" name="PivotTable7"/>
  </pivotTables>
  <data>
    <tabular pivotCacheId="12756853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E49D69BB-A9D2-481A-8965-96FBFB3E7CAA}" cache="Slicer_Product" caption="Product" rowHeight="247650"/>
  <slicer name="Region 2" xr10:uid="{E2F6B14E-FC2B-429C-88F0-568AC9141089}" cache="Slicer_Region2" caption="Region" rowHeight="247650"/>
  <slicer name="Payment Method" xr10:uid="{5C43CD12-3C0E-44A9-944F-B9E63400C524}" cache="Slicer_Payment_Method" caption="Payment Method" rowHeight="247650"/>
  <slicer name="Order Status" xr10:uid="{280D265A-7FD8-4C79-8013-6351BC6E38D1}" cache="Slicer_Order_Status" caption="Order Status" rowHeight="247650"/>
  <slicer name="Category" xr10:uid="{87EE6ED9-AC1C-4870-B01F-63A7EF6F2EA7}" cache="Slicer_Category" caption="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257CA010-DECA-4089-B633-23B0A07E0FC7}" cache="Slicer_Product" caption="Product" style="Slicer Style 1" rowHeight="468000"/>
  <slicer name="Region 3" xr10:uid="{C1D34C97-F7AC-410B-B03F-5142F1E6C484}" cache="Slicer_Region2" caption="Region" style="Slicer Style 1" rowHeight="432000"/>
  <slicer name="Category 1" xr10:uid="{BED46EB5-9664-4596-898C-C213D05CED6B}" cache="Slicer_Category" caption="Category" style="Slicer Style 1" rowHeight="54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592223-C5E0-400B-B7F0-6230C6C5D1E2}" name="Table1" displayName="Table1" ref="A3:K18" totalsRowShown="0" headerRowDxfId="28" dataDxfId="27">
  <autoFilter ref="A3:K18" xr:uid="{8E592223-C5E0-400B-B7F0-6230C6C5D1E2}"/>
  <tableColumns count="11">
    <tableColumn id="1" xr3:uid="{6BD7078A-86BD-440A-BF72-9445E748D1FF}" name="Order ID" dataDxfId="26"/>
    <tableColumn id="2" xr3:uid="{DE6A6EB4-BD32-4388-966E-3B681748863D}" name="Customer" dataDxfId="25"/>
    <tableColumn id="3" xr3:uid="{C7074A40-8971-4D22-9E5D-EAE0A9E7D3C2}" name="Product" dataDxfId="24"/>
    <tableColumn id="4" xr3:uid="{0CEB8F45-07BD-4B9B-A6EB-3257CA6AD653}" name="Category" dataDxfId="23"/>
    <tableColumn id="5" xr3:uid="{C7EAE376-0565-4030-A122-4371AB1D0256}" name="Region" dataDxfId="22"/>
    <tableColumn id="6" xr3:uid="{05C20B8B-0939-492C-AE9D-1A29C0B1CB6B}" name="Quantity" dataDxfId="21"/>
    <tableColumn id="7" xr3:uid="{94EBC4BB-381B-4E27-8D2E-888296935DBA}" name="Unit Price" dataDxfId="20"/>
    <tableColumn id="8" xr3:uid="{5240ECB5-E38F-4A0B-8669-2AEA4DDF45D8}" name="Sales" dataDxfId="19"/>
    <tableColumn id="9" xr3:uid="{54AE052E-E055-42B7-B149-1B6AF647EDEC}" name="Payment Method" dataDxfId="18"/>
    <tableColumn id="10" xr3:uid="{58A096D3-C1DB-489E-BE99-29B578ED7573}" name="Order Status" dataDxfId="17"/>
    <tableColumn id="11" xr3:uid="{C8CC12E5-33F6-4B49-9CBD-D466BBCC79E6}" name="Order Date" dataDxf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1C1A0B-D14A-494A-879A-166852DBAE40}" name="Table13" displayName="Table13" ref="A1:N16" totalsRowShown="0" headerRowDxfId="15" dataDxfId="14">
  <autoFilter ref="A1:N16" xr:uid="{C01C1A0B-D14A-494A-879A-166852DBAE40}"/>
  <tableColumns count="14">
    <tableColumn id="1" xr3:uid="{3038E5F3-9F04-42B4-A8CD-03673F1D252B}" name="Order ID" dataDxfId="13"/>
    <tableColumn id="2" xr3:uid="{BB47C07A-57B3-40F8-A199-4F806C52C6CF}" name="Customer" dataDxfId="12"/>
    <tableColumn id="3" xr3:uid="{5D6E2231-2DB4-4CC0-87F9-2583DA338527}" name="Product" dataDxfId="11"/>
    <tableColumn id="4" xr3:uid="{091E3474-3555-472B-A21D-810974900263}" name="Category" dataDxfId="10"/>
    <tableColumn id="5" xr3:uid="{205B9347-C53B-4892-B857-DA7446F8085C}" name="Region" dataDxfId="9"/>
    <tableColumn id="6" xr3:uid="{B78D3562-0549-4D4B-AA98-1C8CC3CFAF28}" name="Quantity" dataDxfId="8"/>
    <tableColumn id="7" xr3:uid="{844A9CA7-A1FF-49C8-9035-CAA0CDCD0522}" name="Unit Price" dataDxfId="7"/>
    <tableColumn id="8" xr3:uid="{212C65E2-F3A9-4C34-98D4-91EC9FD2A571}" name="Sales" dataDxfId="6"/>
    <tableColumn id="9" xr3:uid="{B254C183-D17B-4F78-BDE3-D185DC71FC47}" name="Payment Method" dataDxfId="5"/>
    <tableColumn id="10" xr3:uid="{2FC2E316-86E6-4A81-A52F-913EED2D12DB}" name="Order Status" dataDxfId="4"/>
    <tableColumn id="11" xr3:uid="{BDC075EE-5E66-4816-98AA-FC03F3973739}" name="Order Date" dataDxfId="3"/>
    <tableColumn id="12" xr3:uid="{FF5D4F91-0D1C-4C72-B7EE-4B485059CFB7}" name="Sales Category" dataDxfId="2">
      <calculatedColumnFormula>IF(H2&gt;50000,"High Value","Normal")</calculatedColumnFormula>
    </tableColumn>
    <tableColumn id="13" xr3:uid="{1BE788BD-F439-4837-B813-752B81F8F1DD}" name="Quantity Category" dataDxfId="1">
      <calculatedColumnFormula>IF(F2&gt;=5,"Bulk","Regular")</calculatedColumnFormula>
    </tableColumn>
    <tableColumn id="14" xr3:uid="{4849B24C-72DC-4592-B1BC-897447D31F0E}" name="Priority Order" dataDxfId="0">
      <calculatedColumnFormula>IF(AND(H2&gt;=50000,J2="Delivered"),"Priority","Normal")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5.xml"/><Relationship Id="rId7" Type="http://schemas.openxmlformats.org/officeDocument/2006/relationships/drawing" Target="../drawings/drawing4.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2AF0C-7806-4E45-971E-06B5F45E2A52}">
  <dimension ref="A3:K18"/>
  <sheetViews>
    <sheetView zoomScale="101" workbookViewId="0">
      <selection activeCell="A3" sqref="A3:K18"/>
    </sheetView>
  </sheetViews>
  <sheetFormatPr defaultRowHeight="14.4" x14ac:dyDescent="0.3"/>
  <cols>
    <col min="1" max="1" width="16.44140625" customWidth="1"/>
    <col min="2" max="2" width="19.44140625" customWidth="1"/>
    <col min="3" max="3" width="14.6640625" customWidth="1"/>
    <col min="4" max="4" width="15.77734375" customWidth="1"/>
    <col min="5" max="5" width="15.21875" customWidth="1"/>
    <col min="6" max="6" width="16.44140625" customWidth="1"/>
    <col min="7" max="7" width="15.33203125" style="4" customWidth="1"/>
    <col min="8" max="8" width="16.109375" style="4" customWidth="1"/>
    <col min="9" max="9" width="23.88671875" customWidth="1"/>
    <col min="10" max="10" width="20" customWidth="1"/>
    <col min="11" max="11" width="20.5546875" customWidth="1"/>
  </cols>
  <sheetData>
    <row r="3" spans="1:11" x14ac:dyDescent="0.3">
      <c r="A3" s="1" t="s">
        <v>0</v>
      </c>
      <c r="B3" s="1" t="s">
        <v>1</v>
      </c>
      <c r="C3" s="1" t="s">
        <v>2</v>
      </c>
      <c r="D3" s="1" t="s">
        <v>3</v>
      </c>
      <c r="E3" s="1" t="s">
        <v>4</v>
      </c>
      <c r="F3" s="1" t="s">
        <v>5</v>
      </c>
      <c r="G3" s="5" t="s">
        <v>6</v>
      </c>
      <c r="H3" s="5" t="s">
        <v>7</v>
      </c>
      <c r="I3" s="1" t="s">
        <v>8</v>
      </c>
      <c r="J3" s="1" t="s">
        <v>9</v>
      </c>
      <c r="K3" s="1" t="s">
        <v>10</v>
      </c>
    </row>
    <row r="4" spans="1:11" x14ac:dyDescent="0.3">
      <c r="A4" s="2">
        <v>5001</v>
      </c>
      <c r="B4" s="2" t="s">
        <v>11</v>
      </c>
      <c r="C4" s="2" t="s">
        <v>12</v>
      </c>
      <c r="D4" s="2" t="s">
        <v>13</v>
      </c>
      <c r="E4" s="2" t="s">
        <v>14</v>
      </c>
      <c r="F4" s="2">
        <v>1</v>
      </c>
      <c r="G4" s="6">
        <v>60000</v>
      </c>
      <c r="H4" s="6">
        <v>60000</v>
      </c>
      <c r="I4" s="2" t="s">
        <v>15</v>
      </c>
      <c r="J4" s="2" t="s">
        <v>16</v>
      </c>
      <c r="K4" s="3">
        <v>46266</v>
      </c>
    </row>
    <row r="5" spans="1:11" x14ac:dyDescent="0.3">
      <c r="A5" s="2">
        <v>5002</v>
      </c>
      <c r="B5" s="2" t="s">
        <v>17</v>
      </c>
      <c r="C5" s="2" t="s">
        <v>18</v>
      </c>
      <c r="D5" s="2" t="s">
        <v>19</v>
      </c>
      <c r="E5" s="2" t="s">
        <v>20</v>
      </c>
      <c r="F5" s="2">
        <v>5</v>
      </c>
      <c r="G5" s="6">
        <v>800</v>
      </c>
      <c r="H5" s="6">
        <v>4000</v>
      </c>
      <c r="I5" s="2" t="s">
        <v>21</v>
      </c>
      <c r="J5" s="2" t="s">
        <v>16</v>
      </c>
      <c r="K5" s="3">
        <v>46267</v>
      </c>
    </row>
    <row r="6" spans="1:11" x14ac:dyDescent="0.3">
      <c r="A6" s="2">
        <v>5003</v>
      </c>
      <c r="B6" s="2" t="s">
        <v>22</v>
      </c>
      <c r="C6" s="2" t="s">
        <v>23</v>
      </c>
      <c r="D6" s="2" t="s">
        <v>13</v>
      </c>
      <c r="E6" s="2" t="s">
        <v>24</v>
      </c>
      <c r="F6" s="2">
        <v>2</v>
      </c>
      <c r="G6" s="6">
        <v>20000</v>
      </c>
      <c r="H6" s="6">
        <v>40000</v>
      </c>
      <c r="I6" s="2" t="s">
        <v>15</v>
      </c>
      <c r="J6" s="2" t="s">
        <v>16</v>
      </c>
      <c r="K6" s="3">
        <v>46268</v>
      </c>
    </row>
    <row r="7" spans="1:11" x14ac:dyDescent="0.3">
      <c r="A7" s="2">
        <v>5004</v>
      </c>
      <c r="B7" s="2" t="s">
        <v>25</v>
      </c>
      <c r="C7" s="2" t="s">
        <v>26</v>
      </c>
      <c r="D7" s="2" t="s">
        <v>19</v>
      </c>
      <c r="E7" s="2" t="s">
        <v>14</v>
      </c>
      <c r="F7" s="2">
        <v>3</v>
      </c>
      <c r="G7" s="6">
        <v>1800</v>
      </c>
      <c r="H7" s="6">
        <v>5400</v>
      </c>
      <c r="I7" s="2" t="s">
        <v>27</v>
      </c>
      <c r="J7" s="2" t="s">
        <v>28</v>
      </c>
      <c r="K7" s="3">
        <v>46269</v>
      </c>
    </row>
    <row r="8" spans="1:11" x14ac:dyDescent="0.3">
      <c r="A8" s="2">
        <v>5005</v>
      </c>
      <c r="B8" s="2" t="s">
        <v>29</v>
      </c>
      <c r="C8" s="2" t="s">
        <v>30</v>
      </c>
      <c r="D8" s="2" t="s">
        <v>31</v>
      </c>
      <c r="E8" s="2" t="s">
        <v>20</v>
      </c>
      <c r="F8" s="2">
        <v>1</v>
      </c>
      <c r="G8" s="6">
        <v>15000</v>
      </c>
      <c r="H8" s="6">
        <v>15000</v>
      </c>
      <c r="I8" s="2" t="s">
        <v>15</v>
      </c>
      <c r="J8" s="2" t="s">
        <v>16</v>
      </c>
      <c r="K8" s="3">
        <v>46270</v>
      </c>
    </row>
    <row r="9" spans="1:11" x14ac:dyDescent="0.3">
      <c r="A9" s="2">
        <v>5006</v>
      </c>
      <c r="B9" s="2" t="s">
        <v>32</v>
      </c>
      <c r="C9" s="2" t="s">
        <v>12</v>
      </c>
      <c r="D9" s="2" t="s">
        <v>13</v>
      </c>
      <c r="E9" s="2" t="s">
        <v>33</v>
      </c>
      <c r="F9" s="2">
        <v>2</v>
      </c>
      <c r="G9" s="6">
        <v>60000</v>
      </c>
      <c r="H9" s="6">
        <v>120000</v>
      </c>
      <c r="I9" s="2" t="s">
        <v>21</v>
      </c>
      <c r="J9" s="2" t="s">
        <v>16</v>
      </c>
      <c r="K9" s="3">
        <v>46271</v>
      </c>
    </row>
    <row r="10" spans="1:11" x14ac:dyDescent="0.3">
      <c r="A10" s="2">
        <v>5007</v>
      </c>
      <c r="B10" s="2" t="s">
        <v>34</v>
      </c>
      <c r="C10" s="2" t="s">
        <v>35</v>
      </c>
      <c r="D10" s="2" t="s">
        <v>19</v>
      </c>
      <c r="E10" s="2" t="s">
        <v>14</v>
      </c>
      <c r="F10" s="2">
        <v>4</v>
      </c>
      <c r="G10" s="6">
        <v>3000</v>
      </c>
      <c r="H10" s="6">
        <v>12000</v>
      </c>
      <c r="I10" s="2" t="s">
        <v>15</v>
      </c>
      <c r="J10" s="2" t="s">
        <v>36</v>
      </c>
      <c r="K10" s="3">
        <v>46272</v>
      </c>
    </row>
    <row r="11" spans="1:11" x14ac:dyDescent="0.3">
      <c r="A11" s="2">
        <v>5008</v>
      </c>
      <c r="B11" s="2" t="s">
        <v>37</v>
      </c>
      <c r="C11" s="2" t="s">
        <v>30</v>
      </c>
      <c r="D11" s="2" t="s">
        <v>31</v>
      </c>
      <c r="E11" s="2" t="s">
        <v>24</v>
      </c>
      <c r="F11" s="2">
        <v>2</v>
      </c>
      <c r="G11" s="6">
        <v>15000</v>
      </c>
      <c r="H11" s="6">
        <v>30000</v>
      </c>
      <c r="I11" s="2" t="s">
        <v>27</v>
      </c>
      <c r="J11" s="2" t="s">
        <v>16</v>
      </c>
      <c r="K11" s="3">
        <v>46273</v>
      </c>
    </row>
    <row r="12" spans="1:11" x14ac:dyDescent="0.3">
      <c r="A12" s="2">
        <v>5009</v>
      </c>
      <c r="B12" s="2" t="s">
        <v>38</v>
      </c>
      <c r="C12" s="2" t="s">
        <v>18</v>
      </c>
      <c r="D12" s="2" t="s">
        <v>19</v>
      </c>
      <c r="E12" s="2" t="s">
        <v>33</v>
      </c>
      <c r="F12" s="2">
        <v>10</v>
      </c>
      <c r="G12" s="6">
        <v>800</v>
      </c>
      <c r="H12" s="6">
        <v>8000</v>
      </c>
      <c r="I12" s="2" t="s">
        <v>15</v>
      </c>
      <c r="J12" s="2" t="s">
        <v>16</v>
      </c>
      <c r="K12" s="3">
        <v>46274</v>
      </c>
    </row>
    <row r="13" spans="1:11" x14ac:dyDescent="0.3">
      <c r="A13" s="2">
        <v>5010</v>
      </c>
      <c r="B13" s="2" t="s">
        <v>39</v>
      </c>
      <c r="C13" s="2" t="s">
        <v>23</v>
      </c>
      <c r="D13" s="2" t="s">
        <v>13</v>
      </c>
      <c r="E13" s="2" t="s">
        <v>20</v>
      </c>
      <c r="F13" s="2">
        <v>1</v>
      </c>
      <c r="G13" s="6">
        <v>20000</v>
      </c>
      <c r="H13" s="6">
        <v>20000</v>
      </c>
      <c r="I13" s="2" t="s">
        <v>21</v>
      </c>
      <c r="J13" s="2" t="s">
        <v>28</v>
      </c>
      <c r="K13" s="3">
        <v>46275</v>
      </c>
    </row>
    <row r="14" spans="1:11" x14ac:dyDescent="0.3">
      <c r="A14" s="2">
        <v>5011</v>
      </c>
      <c r="B14" s="2" t="s">
        <v>40</v>
      </c>
      <c r="C14" s="2" t="s">
        <v>12</v>
      </c>
      <c r="D14" s="2" t="s">
        <v>13</v>
      </c>
      <c r="E14" s="2" t="s">
        <v>14</v>
      </c>
      <c r="F14" s="2">
        <v>1</v>
      </c>
      <c r="G14" s="6">
        <v>60000</v>
      </c>
      <c r="H14" s="6">
        <v>60000</v>
      </c>
      <c r="I14" s="2" t="s">
        <v>15</v>
      </c>
      <c r="J14" s="2" t="s">
        <v>16</v>
      </c>
      <c r="K14" s="3">
        <v>46276</v>
      </c>
    </row>
    <row r="15" spans="1:11" x14ac:dyDescent="0.3">
      <c r="A15" s="2">
        <v>5012</v>
      </c>
      <c r="B15" s="2" t="s">
        <v>41</v>
      </c>
      <c r="C15" s="2" t="s">
        <v>26</v>
      </c>
      <c r="D15" s="2" t="s">
        <v>19</v>
      </c>
      <c r="E15" s="2" t="s">
        <v>33</v>
      </c>
      <c r="F15" s="2">
        <v>4</v>
      </c>
      <c r="G15" s="6">
        <v>1800</v>
      </c>
      <c r="H15" s="6">
        <v>7200</v>
      </c>
      <c r="I15" s="2" t="s">
        <v>27</v>
      </c>
      <c r="J15" s="2" t="s">
        <v>16</v>
      </c>
      <c r="K15" s="3">
        <v>46277</v>
      </c>
    </row>
    <row r="16" spans="1:11" x14ac:dyDescent="0.3">
      <c r="A16" s="2">
        <v>5013</v>
      </c>
      <c r="B16" s="2" t="s">
        <v>42</v>
      </c>
      <c r="C16" s="2" t="s">
        <v>30</v>
      </c>
      <c r="D16" s="2" t="s">
        <v>31</v>
      </c>
      <c r="E16" s="2" t="s">
        <v>14</v>
      </c>
      <c r="F16" s="2">
        <v>3</v>
      </c>
      <c r="G16" s="6">
        <v>15000</v>
      </c>
      <c r="H16" s="6">
        <v>45000</v>
      </c>
      <c r="I16" s="2" t="s">
        <v>15</v>
      </c>
      <c r="J16" s="2" t="s">
        <v>16</v>
      </c>
      <c r="K16" s="3">
        <v>46278</v>
      </c>
    </row>
    <row r="17" spans="1:11" x14ac:dyDescent="0.3">
      <c r="A17" s="2">
        <v>5014</v>
      </c>
      <c r="B17" s="2" t="s">
        <v>43</v>
      </c>
      <c r="C17" s="2" t="s">
        <v>23</v>
      </c>
      <c r="D17" s="2" t="s">
        <v>13</v>
      </c>
      <c r="E17" s="2" t="s">
        <v>24</v>
      </c>
      <c r="F17" s="2">
        <v>3</v>
      </c>
      <c r="G17" s="6">
        <v>20000</v>
      </c>
      <c r="H17" s="6">
        <v>60000</v>
      </c>
      <c r="I17" s="2" t="s">
        <v>21</v>
      </c>
      <c r="J17" s="2" t="s">
        <v>16</v>
      </c>
      <c r="K17" s="3">
        <v>46279</v>
      </c>
    </row>
    <row r="18" spans="1:11" x14ac:dyDescent="0.3">
      <c r="A18" s="2">
        <v>5015</v>
      </c>
      <c r="B18" s="2" t="s">
        <v>44</v>
      </c>
      <c r="C18" s="2" t="s">
        <v>12</v>
      </c>
      <c r="D18" s="2" t="s">
        <v>13</v>
      </c>
      <c r="E18" s="2" t="s">
        <v>20</v>
      </c>
      <c r="F18" s="2">
        <v>1</v>
      </c>
      <c r="G18" s="6">
        <v>60000</v>
      </c>
      <c r="H18" s="6">
        <v>60000</v>
      </c>
      <c r="I18" s="2" t="s">
        <v>15</v>
      </c>
      <c r="J18" s="2" t="s">
        <v>16</v>
      </c>
      <c r="K18" s="3">
        <v>46280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2BB69-AA0A-464C-88CD-E2FA8E7BC9B0}">
  <dimension ref="A2:D6"/>
  <sheetViews>
    <sheetView workbookViewId="0">
      <selection activeCell="D6" sqref="D6"/>
    </sheetView>
  </sheetViews>
  <sheetFormatPr defaultRowHeight="14.4" x14ac:dyDescent="0.3"/>
  <cols>
    <col min="1" max="1" width="11.5546875" bestFit="1" customWidth="1"/>
    <col min="2" max="2" width="14.21875" bestFit="1" customWidth="1"/>
    <col min="3" max="3" width="15.109375" bestFit="1" customWidth="1"/>
    <col min="4" max="4" width="15.44140625" bestFit="1" customWidth="1"/>
  </cols>
  <sheetData>
    <row r="2" spans="1:4" x14ac:dyDescent="0.3">
      <c r="B2" s="19" t="s">
        <v>72</v>
      </c>
      <c r="C2" s="19"/>
    </row>
    <row r="3" spans="1:4" x14ac:dyDescent="0.3">
      <c r="A3" t="s">
        <v>67</v>
      </c>
      <c r="B3" t="s">
        <v>68</v>
      </c>
      <c r="C3" t="s">
        <v>69</v>
      </c>
      <c r="D3" t="s">
        <v>71</v>
      </c>
    </row>
    <row r="4" spans="1:4" x14ac:dyDescent="0.3">
      <c r="A4" s="4">
        <v>546600</v>
      </c>
      <c r="B4">
        <v>43</v>
      </c>
      <c r="C4">
        <v>15</v>
      </c>
      <c r="D4" s="4">
        <v>36440</v>
      </c>
    </row>
    <row r="6" spans="1:4" x14ac:dyDescent="0.3">
      <c r="A6" s="4">
        <f>GETPIVOTDATA("Sum of Sales",$A$3)</f>
        <v>546600</v>
      </c>
      <c r="B6">
        <f>GETPIVOTDATA("Sum of Quantity",$A$3)</f>
        <v>43</v>
      </c>
      <c r="C6">
        <f>GETPIVOTDATA("Count of Order ID",$A$3)</f>
        <v>15</v>
      </c>
      <c r="D6" s="4">
        <f>GETPIVOTDATA("Average of Sales2",$A$3)</f>
        <v>36440</v>
      </c>
    </row>
  </sheetData>
  <mergeCells count="1">
    <mergeCell ref="B2: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AA198-340B-4132-8E0F-19785E6FF20D}">
  <dimension ref="A3:B19"/>
  <sheetViews>
    <sheetView workbookViewId="0">
      <selection activeCell="A3" sqref="A3:B19"/>
    </sheetView>
  </sheetViews>
  <sheetFormatPr defaultRowHeight="14.4" x14ac:dyDescent="0.3"/>
  <cols>
    <col min="1" max="1" width="12.21875" bestFit="1" customWidth="1"/>
    <col min="2" max="2" width="11.5546875" bestFit="1" customWidth="1"/>
  </cols>
  <sheetData>
    <row r="3" spans="1:2" x14ac:dyDescent="0.3">
      <c r="A3" s="9" t="s">
        <v>10</v>
      </c>
      <c r="B3" t="s">
        <v>67</v>
      </c>
    </row>
    <row r="4" spans="1:2" x14ac:dyDescent="0.3">
      <c r="A4" s="18">
        <v>46266</v>
      </c>
      <c r="B4" s="4">
        <v>60000</v>
      </c>
    </row>
    <row r="5" spans="1:2" x14ac:dyDescent="0.3">
      <c r="A5" s="18">
        <v>46267</v>
      </c>
      <c r="B5" s="4">
        <v>4000</v>
      </c>
    </row>
    <row r="6" spans="1:2" x14ac:dyDescent="0.3">
      <c r="A6" s="18">
        <v>46268</v>
      </c>
      <c r="B6" s="4">
        <v>40000</v>
      </c>
    </row>
    <row r="7" spans="1:2" x14ac:dyDescent="0.3">
      <c r="A7" s="18">
        <v>46269</v>
      </c>
      <c r="B7" s="4">
        <v>5400</v>
      </c>
    </row>
    <row r="8" spans="1:2" x14ac:dyDescent="0.3">
      <c r="A8" s="18">
        <v>46270</v>
      </c>
      <c r="B8" s="4">
        <v>15000</v>
      </c>
    </row>
    <row r="9" spans="1:2" x14ac:dyDescent="0.3">
      <c r="A9" s="18">
        <v>46271</v>
      </c>
      <c r="B9" s="4">
        <v>120000</v>
      </c>
    </row>
    <row r="10" spans="1:2" x14ac:dyDescent="0.3">
      <c r="A10" s="18">
        <v>46272</v>
      </c>
      <c r="B10" s="4">
        <v>12000</v>
      </c>
    </row>
    <row r="11" spans="1:2" x14ac:dyDescent="0.3">
      <c r="A11" s="18">
        <v>46273</v>
      </c>
      <c r="B11" s="4">
        <v>30000</v>
      </c>
    </row>
    <row r="12" spans="1:2" x14ac:dyDescent="0.3">
      <c r="A12" s="18">
        <v>46274</v>
      </c>
      <c r="B12" s="4">
        <v>8000</v>
      </c>
    </row>
    <row r="13" spans="1:2" x14ac:dyDescent="0.3">
      <c r="A13" s="18">
        <v>46275</v>
      </c>
      <c r="B13" s="4">
        <v>20000</v>
      </c>
    </row>
    <row r="14" spans="1:2" x14ac:dyDescent="0.3">
      <c r="A14" s="18">
        <v>46276</v>
      </c>
      <c r="B14" s="4">
        <v>60000</v>
      </c>
    </row>
    <row r="15" spans="1:2" x14ac:dyDescent="0.3">
      <c r="A15" s="18">
        <v>46277</v>
      </c>
      <c r="B15" s="4">
        <v>7200</v>
      </c>
    </row>
    <row r="16" spans="1:2" x14ac:dyDescent="0.3">
      <c r="A16" s="18">
        <v>46278</v>
      </c>
      <c r="B16" s="4">
        <v>45000</v>
      </c>
    </row>
    <row r="17" spans="1:2" x14ac:dyDescent="0.3">
      <c r="A17" s="18">
        <v>46279</v>
      </c>
      <c r="B17" s="4">
        <v>60000</v>
      </c>
    </row>
    <row r="18" spans="1:2" x14ac:dyDescent="0.3">
      <c r="A18" s="18">
        <v>46280</v>
      </c>
      <c r="B18" s="4">
        <v>60000</v>
      </c>
    </row>
    <row r="19" spans="1:2" x14ac:dyDescent="0.3">
      <c r="A19" s="18" t="s">
        <v>66</v>
      </c>
      <c r="B19" s="4">
        <v>546600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CE539-7F6F-4798-842F-7A9B154725DE}">
  <dimension ref="A1:N38"/>
  <sheetViews>
    <sheetView zoomScale="76" workbookViewId="0">
      <selection sqref="A1:N16"/>
    </sheetView>
  </sheetViews>
  <sheetFormatPr defaultRowHeight="14.4" x14ac:dyDescent="0.3"/>
  <cols>
    <col min="1" max="1" width="15.44140625" customWidth="1"/>
    <col min="2" max="2" width="13.88671875" customWidth="1"/>
    <col min="3" max="3" width="12.5546875" customWidth="1"/>
    <col min="4" max="4" width="13.33203125" customWidth="1"/>
    <col min="5" max="5" width="15.6640625" customWidth="1"/>
    <col min="6" max="6" width="14.109375" customWidth="1"/>
    <col min="7" max="7" width="13.6640625" customWidth="1"/>
    <col min="8" max="8" width="12" customWidth="1"/>
    <col min="9" max="9" width="19.77734375" customWidth="1"/>
    <col min="10" max="10" width="19" customWidth="1"/>
    <col min="11" max="11" width="20" customWidth="1"/>
    <col min="12" max="12" width="19.77734375" customWidth="1"/>
    <col min="13" max="13" width="15.21875" customWidth="1"/>
    <col min="14" max="14" width="17.88671875" customWidth="1"/>
  </cols>
  <sheetData>
    <row r="1" spans="1:14" ht="28.8" x14ac:dyDescent="0.3">
      <c r="A1" s="1" t="s">
        <v>0</v>
      </c>
      <c r="B1" s="1" t="s">
        <v>1</v>
      </c>
      <c r="C1" s="1" t="s">
        <v>2</v>
      </c>
      <c r="D1" s="1" t="s">
        <v>3</v>
      </c>
      <c r="E1" s="1" t="s">
        <v>4</v>
      </c>
      <c r="F1" s="1" t="s">
        <v>5</v>
      </c>
      <c r="G1" s="5" t="s">
        <v>6</v>
      </c>
      <c r="H1" s="5" t="s">
        <v>7</v>
      </c>
      <c r="I1" s="1" t="s">
        <v>8</v>
      </c>
      <c r="J1" s="1" t="s">
        <v>9</v>
      </c>
      <c r="K1" s="1" t="s">
        <v>10</v>
      </c>
      <c r="L1" s="1" t="s">
        <v>45</v>
      </c>
      <c r="M1" s="1" t="s">
        <v>46</v>
      </c>
      <c r="N1" s="1" t="s">
        <v>47</v>
      </c>
    </row>
    <row r="2" spans="1:14" x14ac:dyDescent="0.3">
      <c r="A2" s="2">
        <v>5001</v>
      </c>
      <c r="B2" s="2" t="s">
        <v>11</v>
      </c>
      <c r="C2" s="2" t="s">
        <v>12</v>
      </c>
      <c r="D2" s="2" t="s">
        <v>13</v>
      </c>
      <c r="E2" s="2" t="s">
        <v>14</v>
      </c>
      <c r="F2" s="2">
        <v>1</v>
      </c>
      <c r="G2" s="6">
        <v>60000</v>
      </c>
      <c r="H2" s="6">
        <v>60000</v>
      </c>
      <c r="I2" s="2" t="s">
        <v>15</v>
      </c>
      <c r="J2" s="2" t="s">
        <v>16</v>
      </c>
      <c r="K2" s="3">
        <v>46266</v>
      </c>
      <c r="L2" s="2" t="str">
        <f t="shared" ref="L2:L16" si="0">IF(H2&gt;50000,"High Value","Normal")</f>
        <v>High Value</v>
      </c>
      <c r="M2" s="2" t="str">
        <f t="shared" ref="M2:M16" si="1">IF(F2&gt;=5,"Bulk","Regular")</f>
        <v>Regular</v>
      </c>
      <c r="N2" s="2" t="str">
        <f t="shared" ref="N2:N16" si="2">IF(AND(H2&gt;=50000,J2="Delivered"),"Priority","Normal")</f>
        <v>Priority</v>
      </c>
    </row>
    <row r="3" spans="1:14" x14ac:dyDescent="0.3">
      <c r="A3" s="2">
        <v>5002</v>
      </c>
      <c r="B3" s="2" t="s">
        <v>17</v>
      </c>
      <c r="C3" s="2" t="s">
        <v>18</v>
      </c>
      <c r="D3" s="2" t="s">
        <v>19</v>
      </c>
      <c r="E3" s="2" t="s">
        <v>20</v>
      </c>
      <c r="F3" s="2">
        <v>5</v>
      </c>
      <c r="G3" s="6">
        <v>800</v>
      </c>
      <c r="H3" s="6">
        <v>4000</v>
      </c>
      <c r="I3" s="2" t="s">
        <v>21</v>
      </c>
      <c r="J3" s="2" t="s">
        <v>16</v>
      </c>
      <c r="K3" s="3">
        <v>46267</v>
      </c>
      <c r="L3" s="2" t="str">
        <f t="shared" si="0"/>
        <v>Normal</v>
      </c>
      <c r="M3" s="2" t="str">
        <f t="shared" si="1"/>
        <v>Bulk</v>
      </c>
      <c r="N3" s="2" t="str">
        <f t="shared" si="2"/>
        <v>Normal</v>
      </c>
    </row>
    <row r="4" spans="1:14" x14ac:dyDescent="0.3">
      <c r="A4" s="2">
        <v>5003</v>
      </c>
      <c r="B4" s="2" t="s">
        <v>22</v>
      </c>
      <c r="C4" s="2" t="s">
        <v>23</v>
      </c>
      <c r="D4" s="2" t="s">
        <v>13</v>
      </c>
      <c r="E4" s="2" t="s">
        <v>24</v>
      </c>
      <c r="F4" s="2">
        <v>2</v>
      </c>
      <c r="G4" s="6">
        <v>20000</v>
      </c>
      <c r="H4" s="6">
        <v>40000</v>
      </c>
      <c r="I4" s="2" t="s">
        <v>15</v>
      </c>
      <c r="J4" s="2" t="s">
        <v>16</v>
      </c>
      <c r="K4" s="3">
        <v>46268</v>
      </c>
      <c r="L4" s="2" t="str">
        <f t="shared" si="0"/>
        <v>Normal</v>
      </c>
      <c r="M4" s="2" t="str">
        <f t="shared" si="1"/>
        <v>Regular</v>
      </c>
      <c r="N4" s="2" t="str">
        <f t="shared" si="2"/>
        <v>Normal</v>
      </c>
    </row>
    <row r="5" spans="1:14" x14ac:dyDescent="0.3">
      <c r="A5" s="2">
        <v>5004</v>
      </c>
      <c r="B5" s="2" t="s">
        <v>25</v>
      </c>
      <c r="C5" s="2" t="s">
        <v>26</v>
      </c>
      <c r="D5" s="2" t="s">
        <v>19</v>
      </c>
      <c r="E5" s="2" t="s">
        <v>14</v>
      </c>
      <c r="F5" s="2">
        <v>3</v>
      </c>
      <c r="G5" s="6">
        <v>1800</v>
      </c>
      <c r="H5" s="6">
        <v>5400</v>
      </c>
      <c r="I5" s="2" t="s">
        <v>27</v>
      </c>
      <c r="J5" s="2" t="s">
        <v>28</v>
      </c>
      <c r="K5" s="3">
        <v>46269</v>
      </c>
      <c r="L5" s="2" t="str">
        <f t="shared" si="0"/>
        <v>Normal</v>
      </c>
      <c r="M5" s="2" t="str">
        <f t="shared" si="1"/>
        <v>Regular</v>
      </c>
      <c r="N5" s="2" t="str">
        <f t="shared" si="2"/>
        <v>Normal</v>
      </c>
    </row>
    <row r="6" spans="1:14" x14ac:dyDescent="0.3">
      <c r="A6" s="2">
        <v>5005</v>
      </c>
      <c r="B6" s="2" t="s">
        <v>29</v>
      </c>
      <c r="C6" s="2" t="s">
        <v>30</v>
      </c>
      <c r="D6" s="2" t="s">
        <v>31</v>
      </c>
      <c r="E6" s="2" t="s">
        <v>20</v>
      </c>
      <c r="F6" s="2">
        <v>1</v>
      </c>
      <c r="G6" s="6">
        <v>15000</v>
      </c>
      <c r="H6" s="6">
        <v>15000</v>
      </c>
      <c r="I6" s="2" t="s">
        <v>15</v>
      </c>
      <c r="J6" s="2" t="s">
        <v>16</v>
      </c>
      <c r="K6" s="3">
        <v>46270</v>
      </c>
      <c r="L6" s="2" t="str">
        <f t="shared" si="0"/>
        <v>Normal</v>
      </c>
      <c r="M6" s="2" t="str">
        <f t="shared" si="1"/>
        <v>Regular</v>
      </c>
      <c r="N6" s="2" t="str">
        <f t="shared" si="2"/>
        <v>Normal</v>
      </c>
    </row>
    <row r="7" spans="1:14" x14ac:dyDescent="0.3">
      <c r="A7" s="2">
        <v>5006</v>
      </c>
      <c r="B7" s="2" t="s">
        <v>32</v>
      </c>
      <c r="C7" s="2" t="s">
        <v>12</v>
      </c>
      <c r="D7" s="2" t="s">
        <v>13</v>
      </c>
      <c r="E7" s="2" t="s">
        <v>33</v>
      </c>
      <c r="F7" s="2">
        <v>2</v>
      </c>
      <c r="G7" s="6">
        <v>60000</v>
      </c>
      <c r="H7" s="6">
        <v>120000</v>
      </c>
      <c r="I7" s="2" t="s">
        <v>21</v>
      </c>
      <c r="J7" s="2" t="s">
        <v>16</v>
      </c>
      <c r="K7" s="3">
        <v>46271</v>
      </c>
      <c r="L7" s="2" t="str">
        <f t="shared" si="0"/>
        <v>High Value</v>
      </c>
      <c r="M7" s="2" t="str">
        <f t="shared" si="1"/>
        <v>Regular</v>
      </c>
      <c r="N7" s="2" t="str">
        <f t="shared" si="2"/>
        <v>Priority</v>
      </c>
    </row>
    <row r="8" spans="1:14" x14ac:dyDescent="0.3">
      <c r="A8" s="2">
        <v>5007</v>
      </c>
      <c r="B8" s="2" t="s">
        <v>34</v>
      </c>
      <c r="C8" s="2" t="s">
        <v>35</v>
      </c>
      <c r="D8" s="2" t="s">
        <v>19</v>
      </c>
      <c r="E8" s="2" t="s">
        <v>14</v>
      </c>
      <c r="F8" s="2">
        <v>4</v>
      </c>
      <c r="G8" s="6">
        <v>3000</v>
      </c>
      <c r="H8" s="6">
        <v>12000</v>
      </c>
      <c r="I8" s="2" t="s">
        <v>15</v>
      </c>
      <c r="J8" s="2" t="s">
        <v>36</v>
      </c>
      <c r="K8" s="3">
        <v>46272</v>
      </c>
      <c r="L8" s="2" t="str">
        <f t="shared" si="0"/>
        <v>Normal</v>
      </c>
      <c r="M8" s="2" t="str">
        <f t="shared" si="1"/>
        <v>Regular</v>
      </c>
      <c r="N8" s="2" t="str">
        <f t="shared" si="2"/>
        <v>Normal</v>
      </c>
    </row>
    <row r="9" spans="1:14" x14ac:dyDescent="0.3">
      <c r="A9" s="2">
        <v>5008</v>
      </c>
      <c r="B9" s="2" t="s">
        <v>37</v>
      </c>
      <c r="C9" s="2" t="s">
        <v>30</v>
      </c>
      <c r="D9" s="2" t="s">
        <v>31</v>
      </c>
      <c r="E9" s="2" t="s">
        <v>24</v>
      </c>
      <c r="F9" s="2">
        <v>2</v>
      </c>
      <c r="G9" s="6">
        <v>15000</v>
      </c>
      <c r="H9" s="6">
        <v>30000</v>
      </c>
      <c r="I9" s="2" t="s">
        <v>27</v>
      </c>
      <c r="J9" s="2" t="s">
        <v>16</v>
      </c>
      <c r="K9" s="3">
        <v>46273</v>
      </c>
      <c r="L9" s="2" t="str">
        <f t="shared" si="0"/>
        <v>Normal</v>
      </c>
      <c r="M9" s="2" t="str">
        <f t="shared" si="1"/>
        <v>Regular</v>
      </c>
      <c r="N9" s="2" t="str">
        <f t="shared" si="2"/>
        <v>Normal</v>
      </c>
    </row>
    <row r="10" spans="1:14" x14ac:dyDescent="0.3">
      <c r="A10" s="2">
        <v>5009</v>
      </c>
      <c r="B10" s="2" t="s">
        <v>38</v>
      </c>
      <c r="C10" s="2" t="s">
        <v>18</v>
      </c>
      <c r="D10" s="2" t="s">
        <v>19</v>
      </c>
      <c r="E10" s="2" t="s">
        <v>33</v>
      </c>
      <c r="F10" s="2">
        <v>10</v>
      </c>
      <c r="G10" s="6">
        <v>800</v>
      </c>
      <c r="H10" s="6">
        <v>8000</v>
      </c>
      <c r="I10" s="2" t="s">
        <v>15</v>
      </c>
      <c r="J10" s="2" t="s">
        <v>16</v>
      </c>
      <c r="K10" s="3">
        <v>46274</v>
      </c>
      <c r="L10" s="2" t="str">
        <f t="shared" si="0"/>
        <v>Normal</v>
      </c>
      <c r="M10" s="2" t="str">
        <f t="shared" si="1"/>
        <v>Bulk</v>
      </c>
      <c r="N10" s="2" t="str">
        <f t="shared" si="2"/>
        <v>Normal</v>
      </c>
    </row>
    <row r="11" spans="1:14" x14ac:dyDescent="0.3">
      <c r="A11" s="2">
        <v>5010</v>
      </c>
      <c r="B11" s="2" t="s">
        <v>39</v>
      </c>
      <c r="C11" s="2" t="s">
        <v>23</v>
      </c>
      <c r="D11" s="2" t="s">
        <v>13</v>
      </c>
      <c r="E11" s="2" t="s">
        <v>20</v>
      </c>
      <c r="F11" s="2">
        <v>1</v>
      </c>
      <c r="G11" s="6">
        <v>20000</v>
      </c>
      <c r="H11" s="6">
        <v>20000</v>
      </c>
      <c r="I11" s="2" t="s">
        <v>21</v>
      </c>
      <c r="J11" s="2" t="s">
        <v>28</v>
      </c>
      <c r="K11" s="3">
        <v>46275</v>
      </c>
      <c r="L11" s="2" t="str">
        <f t="shared" si="0"/>
        <v>Normal</v>
      </c>
      <c r="M11" s="2" t="str">
        <f t="shared" si="1"/>
        <v>Regular</v>
      </c>
      <c r="N11" s="2" t="str">
        <f t="shared" si="2"/>
        <v>Normal</v>
      </c>
    </row>
    <row r="12" spans="1:14" x14ac:dyDescent="0.3">
      <c r="A12" s="2">
        <v>5011</v>
      </c>
      <c r="B12" s="2" t="s">
        <v>40</v>
      </c>
      <c r="C12" s="2" t="s">
        <v>12</v>
      </c>
      <c r="D12" s="2" t="s">
        <v>13</v>
      </c>
      <c r="E12" s="2" t="s">
        <v>14</v>
      </c>
      <c r="F12" s="2">
        <v>1</v>
      </c>
      <c r="G12" s="6">
        <v>60000</v>
      </c>
      <c r="H12" s="6">
        <v>60000</v>
      </c>
      <c r="I12" s="2" t="s">
        <v>15</v>
      </c>
      <c r="J12" s="2" t="s">
        <v>16</v>
      </c>
      <c r="K12" s="3">
        <v>46276</v>
      </c>
      <c r="L12" s="2" t="str">
        <f t="shared" si="0"/>
        <v>High Value</v>
      </c>
      <c r="M12" s="2" t="str">
        <f t="shared" si="1"/>
        <v>Regular</v>
      </c>
      <c r="N12" s="2" t="str">
        <f t="shared" si="2"/>
        <v>Priority</v>
      </c>
    </row>
    <row r="13" spans="1:14" x14ac:dyDescent="0.3">
      <c r="A13" s="2">
        <v>5012</v>
      </c>
      <c r="B13" s="2" t="s">
        <v>41</v>
      </c>
      <c r="C13" s="2" t="s">
        <v>26</v>
      </c>
      <c r="D13" s="2" t="s">
        <v>19</v>
      </c>
      <c r="E13" s="2" t="s">
        <v>33</v>
      </c>
      <c r="F13" s="2">
        <v>4</v>
      </c>
      <c r="G13" s="6">
        <v>1800</v>
      </c>
      <c r="H13" s="6">
        <v>7200</v>
      </c>
      <c r="I13" s="2" t="s">
        <v>27</v>
      </c>
      <c r="J13" s="2" t="s">
        <v>16</v>
      </c>
      <c r="K13" s="3">
        <v>46277</v>
      </c>
      <c r="L13" s="2" t="str">
        <f t="shared" si="0"/>
        <v>Normal</v>
      </c>
      <c r="M13" s="2" t="str">
        <f t="shared" si="1"/>
        <v>Regular</v>
      </c>
      <c r="N13" s="2" t="str">
        <f t="shared" si="2"/>
        <v>Normal</v>
      </c>
    </row>
    <row r="14" spans="1:14" x14ac:dyDescent="0.3">
      <c r="A14" s="2">
        <v>5013</v>
      </c>
      <c r="B14" s="2" t="s">
        <v>42</v>
      </c>
      <c r="C14" s="2" t="s">
        <v>30</v>
      </c>
      <c r="D14" s="2" t="s">
        <v>31</v>
      </c>
      <c r="E14" s="2" t="s">
        <v>14</v>
      </c>
      <c r="F14" s="2">
        <v>3</v>
      </c>
      <c r="G14" s="6">
        <v>15000</v>
      </c>
      <c r="H14" s="6">
        <v>45000</v>
      </c>
      <c r="I14" s="2" t="s">
        <v>15</v>
      </c>
      <c r="J14" s="2" t="s">
        <v>16</v>
      </c>
      <c r="K14" s="3">
        <v>46278</v>
      </c>
      <c r="L14" s="2" t="str">
        <f t="shared" si="0"/>
        <v>Normal</v>
      </c>
      <c r="M14" s="2" t="str">
        <f t="shared" si="1"/>
        <v>Regular</v>
      </c>
      <c r="N14" s="2" t="str">
        <f t="shared" si="2"/>
        <v>Normal</v>
      </c>
    </row>
    <row r="15" spans="1:14" x14ac:dyDescent="0.3">
      <c r="A15" s="2">
        <v>5014</v>
      </c>
      <c r="B15" s="2" t="s">
        <v>43</v>
      </c>
      <c r="C15" s="2" t="s">
        <v>23</v>
      </c>
      <c r="D15" s="2" t="s">
        <v>13</v>
      </c>
      <c r="E15" s="2" t="s">
        <v>24</v>
      </c>
      <c r="F15" s="2">
        <v>3</v>
      </c>
      <c r="G15" s="6">
        <v>20000</v>
      </c>
      <c r="H15" s="6">
        <v>60000</v>
      </c>
      <c r="I15" s="2" t="s">
        <v>21</v>
      </c>
      <c r="J15" s="2" t="s">
        <v>16</v>
      </c>
      <c r="K15" s="3">
        <v>46279</v>
      </c>
      <c r="L15" s="2" t="str">
        <f t="shared" si="0"/>
        <v>High Value</v>
      </c>
      <c r="M15" s="2" t="str">
        <f t="shared" si="1"/>
        <v>Regular</v>
      </c>
      <c r="N15" s="2" t="str">
        <f t="shared" si="2"/>
        <v>Priority</v>
      </c>
    </row>
    <row r="16" spans="1:14" x14ac:dyDescent="0.3">
      <c r="A16" s="2">
        <v>5015</v>
      </c>
      <c r="B16" s="2" t="s">
        <v>44</v>
      </c>
      <c r="C16" s="2" t="s">
        <v>12</v>
      </c>
      <c r="D16" s="2" t="s">
        <v>13</v>
      </c>
      <c r="E16" s="2" t="s">
        <v>20</v>
      </c>
      <c r="F16" s="2">
        <v>1</v>
      </c>
      <c r="G16" s="6">
        <v>60000</v>
      </c>
      <c r="H16" s="6">
        <v>60000</v>
      </c>
      <c r="I16" s="2" t="s">
        <v>15</v>
      </c>
      <c r="J16" s="2" t="s">
        <v>16</v>
      </c>
      <c r="K16" s="3">
        <v>46280</v>
      </c>
      <c r="L16" s="2" t="str">
        <f t="shared" si="0"/>
        <v>High Value</v>
      </c>
      <c r="M16" s="2" t="str">
        <f t="shared" si="1"/>
        <v>Regular</v>
      </c>
      <c r="N16" s="2" t="str">
        <f t="shared" si="2"/>
        <v>Priority</v>
      </c>
    </row>
    <row r="19" spans="7:8" x14ac:dyDescent="0.3">
      <c r="H19" s="4">
        <v>546600</v>
      </c>
    </row>
    <row r="23" spans="7:8" x14ac:dyDescent="0.3">
      <c r="G23" s="11" t="s">
        <v>10</v>
      </c>
      <c r="H23" s="14" t="s">
        <v>7</v>
      </c>
    </row>
    <row r="24" spans="7:8" x14ac:dyDescent="0.3">
      <c r="G24" s="12">
        <v>46266</v>
      </c>
      <c r="H24" s="15">
        <v>60000</v>
      </c>
    </row>
    <row r="25" spans="7:8" x14ac:dyDescent="0.3">
      <c r="G25" s="13">
        <v>46267</v>
      </c>
      <c r="H25" s="16">
        <v>4000</v>
      </c>
    </row>
    <row r="26" spans="7:8" x14ac:dyDescent="0.3">
      <c r="G26" s="12">
        <v>46268</v>
      </c>
      <c r="H26" s="15">
        <v>40000</v>
      </c>
    </row>
    <row r="27" spans="7:8" x14ac:dyDescent="0.3">
      <c r="G27" s="13">
        <v>46269</v>
      </c>
      <c r="H27" s="16">
        <v>5400</v>
      </c>
    </row>
    <row r="28" spans="7:8" x14ac:dyDescent="0.3">
      <c r="G28" s="12">
        <v>46270</v>
      </c>
      <c r="H28" s="15">
        <v>15000</v>
      </c>
    </row>
    <row r="29" spans="7:8" x14ac:dyDescent="0.3">
      <c r="G29" s="13">
        <v>46271</v>
      </c>
      <c r="H29" s="16">
        <v>120000</v>
      </c>
    </row>
    <row r="30" spans="7:8" x14ac:dyDescent="0.3">
      <c r="G30" s="12">
        <v>46272</v>
      </c>
      <c r="H30" s="15">
        <v>12000</v>
      </c>
    </row>
    <row r="31" spans="7:8" x14ac:dyDescent="0.3">
      <c r="G31" s="13">
        <v>46273</v>
      </c>
      <c r="H31" s="16">
        <v>30000</v>
      </c>
    </row>
    <row r="32" spans="7:8" x14ac:dyDescent="0.3">
      <c r="G32" s="12">
        <v>46274</v>
      </c>
      <c r="H32" s="15">
        <v>8000</v>
      </c>
    </row>
    <row r="33" spans="7:8" x14ac:dyDescent="0.3">
      <c r="G33" s="13">
        <v>46275</v>
      </c>
      <c r="H33" s="16">
        <v>20000</v>
      </c>
    </row>
    <row r="34" spans="7:8" x14ac:dyDescent="0.3">
      <c r="G34" s="12">
        <v>46276</v>
      </c>
      <c r="H34" s="15">
        <v>60000</v>
      </c>
    </row>
    <row r="35" spans="7:8" x14ac:dyDescent="0.3">
      <c r="G35" s="13">
        <v>46277</v>
      </c>
      <c r="H35" s="16">
        <v>7200</v>
      </c>
    </row>
    <row r="36" spans="7:8" x14ac:dyDescent="0.3">
      <c r="G36" s="12">
        <v>46278</v>
      </c>
      <c r="H36" s="15">
        <v>45000</v>
      </c>
    </row>
    <row r="37" spans="7:8" x14ac:dyDescent="0.3">
      <c r="G37" s="13">
        <v>46279</v>
      </c>
      <c r="H37" s="16">
        <v>60000</v>
      </c>
    </row>
    <row r="38" spans="7:8" x14ac:dyDescent="0.3">
      <c r="G38" s="12">
        <v>46280</v>
      </c>
      <c r="H38" s="15">
        <v>60000</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B0225-4E2B-455D-BEF4-09D3C90C1A90}">
  <dimension ref="A1:B19"/>
  <sheetViews>
    <sheetView workbookViewId="0">
      <selection activeCell="B8" sqref="B8"/>
    </sheetView>
  </sheetViews>
  <sheetFormatPr defaultRowHeight="14.4" x14ac:dyDescent="0.3"/>
  <cols>
    <col min="1" max="1" width="50.109375" customWidth="1"/>
  </cols>
  <sheetData>
    <row r="1" spans="1:2" ht="21" x14ac:dyDescent="0.4">
      <c r="A1" s="7" t="s">
        <v>48</v>
      </c>
    </row>
    <row r="3" spans="1:2" ht="18" x14ac:dyDescent="0.35">
      <c r="A3" s="8" t="s">
        <v>49</v>
      </c>
      <c r="B3">
        <f>SUM(Sheet2!H2:H16)</f>
        <v>546600</v>
      </c>
    </row>
    <row r="4" spans="1:2" ht="18" x14ac:dyDescent="0.35">
      <c r="A4" s="8" t="s">
        <v>50</v>
      </c>
      <c r="B4">
        <f>COUNT(Sheet2!A2:A16)</f>
        <v>15</v>
      </c>
    </row>
    <row r="5" spans="1:2" ht="18" x14ac:dyDescent="0.35">
      <c r="A5" s="8" t="s">
        <v>51</v>
      </c>
      <c r="B5">
        <f>SUM(Sheet2!F2:F16)</f>
        <v>43</v>
      </c>
    </row>
    <row r="6" spans="1:2" ht="18" x14ac:dyDescent="0.35">
      <c r="A6" s="8" t="s">
        <v>52</v>
      </c>
      <c r="B6">
        <f>MAX(Sheet2!H2:H16)</f>
        <v>120000</v>
      </c>
    </row>
    <row r="7" spans="1:2" ht="18" x14ac:dyDescent="0.35">
      <c r="A7" s="8" t="s">
        <v>53</v>
      </c>
      <c r="B7">
        <f>MIN(Sheet2!H2:H16)</f>
        <v>4000</v>
      </c>
    </row>
    <row r="8" spans="1:2" ht="18" x14ac:dyDescent="0.35">
      <c r="A8" s="8" t="s">
        <v>54</v>
      </c>
      <c r="B8">
        <f>AVERAGE(Sheet2!H2:H16)</f>
        <v>36440</v>
      </c>
    </row>
    <row r="9" spans="1:2" ht="18" x14ac:dyDescent="0.35">
      <c r="A9" s="8"/>
    </row>
    <row r="10" spans="1:2" ht="18" x14ac:dyDescent="0.35">
      <c r="A10" s="8" t="s">
        <v>55</v>
      </c>
      <c r="B10">
        <f>SUMIF(Sheet2!C2:C16,"Laptop",Sheet2!H2:H16)</f>
        <v>300000</v>
      </c>
    </row>
    <row r="11" spans="1:2" ht="18" x14ac:dyDescent="0.35">
      <c r="A11" s="8" t="s">
        <v>56</v>
      </c>
      <c r="B11">
        <f>SUMIF(Sheet2!E2:E16,"Hyderabad",Sheet2!H2:H16)</f>
        <v>182400</v>
      </c>
    </row>
    <row r="12" spans="1:2" ht="18" x14ac:dyDescent="0.35">
      <c r="A12" s="8" t="s">
        <v>57</v>
      </c>
      <c r="B12">
        <f>SUMIFS(Sheet2!H2:H16,Sheet2!C2:C16,"Laptop",Sheet2!E2:E16,"Hyderabad")</f>
        <v>120000</v>
      </c>
    </row>
    <row r="13" spans="1:2" ht="18" x14ac:dyDescent="0.35">
      <c r="A13" s="8" t="s">
        <v>58</v>
      </c>
      <c r="B13">
        <f>COUNTIF(Sheet2!J2:J16,"Delivered")</f>
        <v>12</v>
      </c>
    </row>
    <row r="14" spans="1:2" ht="18" x14ac:dyDescent="0.35">
      <c r="A14" s="8" t="s">
        <v>59</v>
      </c>
      <c r="B14">
        <f>COUNTIF(Sheet2!J2:J16,"Pending")</f>
        <v>2</v>
      </c>
    </row>
    <row r="15" spans="1:2" ht="18" x14ac:dyDescent="0.35">
      <c r="A15" s="8" t="s">
        <v>60</v>
      </c>
      <c r="B15">
        <f>COUNTIF(Sheet2!J2:J16,"Cancelled")</f>
        <v>1</v>
      </c>
    </row>
    <row r="16" spans="1:2" ht="18" x14ac:dyDescent="0.35">
      <c r="A16" s="8" t="s">
        <v>61</v>
      </c>
      <c r="B16">
        <f>SUMIF(Sheet2!J2:J16,"Delivered",Sheet2!H2:H16)</f>
        <v>509200</v>
      </c>
    </row>
    <row r="17" spans="1:2" ht="18" x14ac:dyDescent="0.35">
      <c r="A17" s="8" t="s">
        <v>62</v>
      </c>
      <c r="B17">
        <f>SUMIF(Sheet2!D2:D16,"Electronics",Sheet2!H2:H16)</f>
        <v>420000</v>
      </c>
    </row>
    <row r="18" spans="1:2" ht="18" x14ac:dyDescent="0.35">
      <c r="A18" s="8" t="s">
        <v>63</v>
      </c>
      <c r="B18">
        <f>SUMIF(Sheet2!D2:D16,"Accessories",Sheet2!H2:H16)</f>
        <v>36600</v>
      </c>
    </row>
    <row r="19" spans="1:2" ht="18" x14ac:dyDescent="0.35">
      <c r="A19" s="8" t="s">
        <v>64</v>
      </c>
      <c r="B19">
        <f>SUMIF(Sheet2!D2:D16,"Office",Sheet2!H2:H16)</f>
        <v>90000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21585-1C4F-4C52-AD4D-EE8572B9DFA3}">
  <dimension ref="A1:AA17"/>
  <sheetViews>
    <sheetView topLeftCell="B15" zoomScale="84" workbookViewId="0">
      <selection activeCell="N10" sqref="N10"/>
    </sheetView>
  </sheetViews>
  <sheetFormatPr defaultRowHeight="14.4" x14ac:dyDescent="0.3"/>
  <cols>
    <col min="1" max="1" width="12.88671875" bestFit="1" customWidth="1"/>
    <col min="2" max="2" width="11.6640625" bestFit="1" customWidth="1"/>
    <col min="4" max="4" width="12.88671875" bestFit="1" customWidth="1"/>
    <col min="5" max="5" width="14.44140625" bestFit="1" customWidth="1"/>
    <col min="7" max="7" width="12.88671875" bestFit="1" customWidth="1"/>
    <col min="8" max="8" width="11.6640625" bestFit="1" customWidth="1"/>
    <col min="10" max="10" width="12.88671875" bestFit="1" customWidth="1"/>
    <col min="11" max="11" width="15.6640625" bestFit="1" customWidth="1"/>
    <col min="13" max="13" width="12.88671875" bestFit="1" customWidth="1"/>
    <col min="14" max="14" width="15.6640625" bestFit="1" customWidth="1"/>
    <col min="26" max="26" width="12.88671875" bestFit="1" customWidth="1"/>
    <col min="27" max="27" width="11.6640625" bestFit="1" customWidth="1"/>
    <col min="28" max="28" width="12.109375" bestFit="1" customWidth="1"/>
  </cols>
  <sheetData>
    <row r="1" spans="1:27" x14ac:dyDescent="0.3">
      <c r="A1" s="9" t="s">
        <v>65</v>
      </c>
      <c r="B1" t="s">
        <v>67</v>
      </c>
      <c r="D1" s="9" t="s">
        <v>65</v>
      </c>
      <c r="E1" t="s">
        <v>68</v>
      </c>
      <c r="G1" s="9" t="s">
        <v>65</v>
      </c>
      <c r="H1" t="s">
        <v>67</v>
      </c>
      <c r="J1" s="9" t="s">
        <v>65</v>
      </c>
      <c r="K1" t="s">
        <v>69</v>
      </c>
      <c r="M1" s="9" t="s">
        <v>65</v>
      </c>
      <c r="N1" t="s">
        <v>69</v>
      </c>
      <c r="Z1" s="9" t="s">
        <v>65</v>
      </c>
      <c r="AA1" t="s">
        <v>67</v>
      </c>
    </row>
    <row r="2" spans="1:27" x14ac:dyDescent="0.3">
      <c r="A2" s="10" t="s">
        <v>35</v>
      </c>
      <c r="B2" s="4">
        <v>12000</v>
      </c>
      <c r="D2" s="10" t="s">
        <v>35</v>
      </c>
      <c r="E2">
        <v>4</v>
      </c>
      <c r="G2" s="10" t="s">
        <v>24</v>
      </c>
      <c r="H2" s="4">
        <v>130000</v>
      </c>
      <c r="J2" s="10" t="s">
        <v>21</v>
      </c>
      <c r="K2">
        <v>4</v>
      </c>
      <c r="M2" s="10" t="s">
        <v>36</v>
      </c>
      <c r="N2">
        <v>1</v>
      </c>
      <c r="Z2" s="17">
        <v>46266</v>
      </c>
      <c r="AA2" s="4">
        <v>60000</v>
      </c>
    </row>
    <row r="3" spans="1:27" x14ac:dyDescent="0.3">
      <c r="A3" s="10" t="s">
        <v>26</v>
      </c>
      <c r="B3" s="4">
        <v>12600</v>
      </c>
      <c r="D3" s="10" t="s">
        <v>26</v>
      </c>
      <c r="E3">
        <v>7</v>
      </c>
      <c r="G3" s="10" t="s">
        <v>20</v>
      </c>
      <c r="H3" s="4">
        <v>99000</v>
      </c>
      <c r="J3" s="10" t="s">
        <v>27</v>
      </c>
      <c r="K3">
        <v>3</v>
      </c>
      <c r="M3" s="10" t="s">
        <v>16</v>
      </c>
      <c r="N3">
        <v>12</v>
      </c>
      <c r="Z3" s="17">
        <v>46267</v>
      </c>
      <c r="AA3" s="4">
        <v>4000</v>
      </c>
    </row>
    <row r="4" spans="1:27" x14ac:dyDescent="0.3">
      <c r="A4" s="10" t="s">
        <v>12</v>
      </c>
      <c r="B4" s="4">
        <v>300000</v>
      </c>
      <c r="D4" s="10" t="s">
        <v>12</v>
      </c>
      <c r="E4">
        <v>5</v>
      </c>
      <c r="G4" s="10" t="s">
        <v>14</v>
      </c>
      <c r="H4" s="4">
        <v>182400</v>
      </c>
      <c r="J4" s="10" t="s">
        <v>15</v>
      </c>
      <c r="K4">
        <v>8</v>
      </c>
      <c r="M4" s="10" t="s">
        <v>28</v>
      </c>
      <c r="N4">
        <v>2</v>
      </c>
      <c r="Z4" s="17">
        <v>46268</v>
      </c>
      <c r="AA4" s="4">
        <v>40000</v>
      </c>
    </row>
    <row r="5" spans="1:27" x14ac:dyDescent="0.3">
      <c r="A5" s="10" t="s">
        <v>23</v>
      </c>
      <c r="B5" s="4">
        <v>120000</v>
      </c>
      <c r="D5" s="10" t="s">
        <v>23</v>
      </c>
      <c r="E5">
        <v>6</v>
      </c>
      <c r="G5" s="10" t="s">
        <v>33</v>
      </c>
      <c r="H5" s="4">
        <v>135200</v>
      </c>
      <c r="J5" s="10" t="s">
        <v>66</v>
      </c>
      <c r="K5">
        <v>15</v>
      </c>
      <c r="M5" s="10" t="s">
        <v>66</v>
      </c>
      <c r="N5">
        <v>15</v>
      </c>
      <c r="Z5" s="17">
        <v>46269</v>
      </c>
      <c r="AA5" s="4">
        <v>5400</v>
      </c>
    </row>
    <row r="6" spans="1:27" x14ac:dyDescent="0.3">
      <c r="A6" s="10" t="s">
        <v>18</v>
      </c>
      <c r="B6" s="4">
        <v>12000</v>
      </c>
      <c r="D6" s="10" t="s">
        <v>18</v>
      </c>
      <c r="E6">
        <v>15</v>
      </c>
      <c r="G6" s="10" t="s">
        <v>66</v>
      </c>
      <c r="H6" s="4">
        <v>546600</v>
      </c>
      <c r="Z6" s="17">
        <v>46270</v>
      </c>
      <c r="AA6" s="4">
        <v>15000</v>
      </c>
    </row>
    <row r="7" spans="1:27" x14ac:dyDescent="0.3">
      <c r="A7" s="10" t="s">
        <v>30</v>
      </c>
      <c r="B7" s="4">
        <v>90000</v>
      </c>
      <c r="D7" s="10" t="s">
        <v>30</v>
      </c>
      <c r="E7">
        <v>6</v>
      </c>
      <c r="Z7" s="17">
        <v>46271</v>
      </c>
      <c r="AA7" s="4">
        <v>120000</v>
      </c>
    </row>
    <row r="8" spans="1:27" x14ac:dyDescent="0.3">
      <c r="A8" s="10" t="s">
        <v>66</v>
      </c>
      <c r="B8" s="4">
        <v>546600</v>
      </c>
      <c r="D8" s="10" t="s">
        <v>66</v>
      </c>
      <c r="E8">
        <v>43</v>
      </c>
      <c r="Z8" s="17">
        <v>46272</v>
      </c>
      <c r="AA8" s="4">
        <v>12000</v>
      </c>
    </row>
    <row r="9" spans="1:27" x14ac:dyDescent="0.3">
      <c r="Z9" s="17">
        <v>46273</v>
      </c>
      <c r="AA9" s="4">
        <v>30000</v>
      </c>
    </row>
    <row r="10" spans="1:27" x14ac:dyDescent="0.3">
      <c r="Z10" s="17">
        <v>46274</v>
      </c>
      <c r="AA10" s="4">
        <v>8000</v>
      </c>
    </row>
    <row r="11" spans="1:27" x14ac:dyDescent="0.3">
      <c r="Z11" s="17">
        <v>46275</v>
      </c>
      <c r="AA11" s="4">
        <v>20000</v>
      </c>
    </row>
    <row r="12" spans="1:27" x14ac:dyDescent="0.3">
      <c r="Z12" s="17">
        <v>46276</v>
      </c>
      <c r="AA12" s="4">
        <v>60000</v>
      </c>
    </row>
    <row r="13" spans="1:27" x14ac:dyDescent="0.3">
      <c r="Z13" s="17">
        <v>46277</v>
      </c>
      <c r="AA13" s="4">
        <v>7200</v>
      </c>
    </row>
    <row r="14" spans="1:27" x14ac:dyDescent="0.3">
      <c r="Z14" s="17">
        <v>46278</v>
      </c>
      <c r="AA14" s="4">
        <v>45000</v>
      </c>
    </row>
    <row r="15" spans="1:27" x14ac:dyDescent="0.3">
      <c r="Z15" s="17">
        <v>46279</v>
      </c>
      <c r="AA15" s="4">
        <v>60000</v>
      </c>
    </row>
    <row r="16" spans="1:27" x14ac:dyDescent="0.3">
      <c r="Z16" s="17">
        <v>46280</v>
      </c>
      <c r="AA16" s="4">
        <v>60000</v>
      </c>
    </row>
    <row r="17" spans="26:27" x14ac:dyDescent="0.3">
      <c r="Z17" s="17" t="s">
        <v>66</v>
      </c>
      <c r="AA17" s="4">
        <v>546600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EA8CE-B062-4107-8DD2-0ED9AAE0B6AB}">
  <dimension ref="B2:N8"/>
  <sheetViews>
    <sheetView showGridLines="0" topLeftCell="A25" workbookViewId="0">
      <selection activeCell="A2" sqref="A2"/>
    </sheetView>
  </sheetViews>
  <sheetFormatPr defaultRowHeight="14.4" x14ac:dyDescent="0.3"/>
  <sheetData>
    <row r="2" spans="2:14" x14ac:dyDescent="0.3">
      <c r="B2" s="20" t="s">
        <v>70</v>
      </c>
      <c r="C2" s="20"/>
      <c r="D2" s="20"/>
      <c r="E2" s="20"/>
      <c r="F2" s="20"/>
      <c r="G2" s="20"/>
      <c r="H2" s="20"/>
      <c r="I2" s="20"/>
      <c r="J2" s="20"/>
      <c r="K2" s="20"/>
      <c r="L2" s="20"/>
      <c r="M2" s="20"/>
      <c r="N2" s="20"/>
    </row>
    <row r="3" spans="2:14" x14ac:dyDescent="0.3">
      <c r="B3" s="20"/>
      <c r="C3" s="20"/>
      <c r="D3" s="20"/>
      <c r="E3" s="20"/>
      <c r="F3" s="20"/>
      <c r="G3" s="20"/>
      <c r="H3" s="20"/>
      <c r="I3" s="20"/>
      <c r="J3" s="20"/>
      <c r="K3" s="20"/>
      <c r="L3" s="20"/>
      <c r="M3" s="20"/>
      <c r="N3" s="20"/>
    </row>
    <row r="5" spans="2:14" x14ac:dyDescent="0.3">
      <c r="B5" s="21" t="s">
        <v>49</v>
      </c>
      <c r="C5" s="21"/>
      <c r="D5" s="21"/>
      <c r="E5" s="21" t="s">
        <v>50</v>
      </c>
      <c r="F5" s="21"/>
      <c r="G5" s="21"/>
      <c r="H5" s="21" t="s">
        <v>51</v>
      </c>
      <c r="I5" s="21"/>
      <c r="J5" s="21"/>
      <c r="K5" s="21" t="s">
        <v>52</v>
      </c>
      <c r="L5" s="21"/>
      <c r="M5" s="21"/>
    </row>
    <row r="6" spans="2:14" x14ac:dyDescent="0.3">
      <c r="B6" s="21"/>
      <c r="C6" s="21"/>
      <c r="D6" s="21"/>
      <c r="E6" s="21"/>
      <c r="F6" s="21"/>
      <c r="G6" s="21"/>
      <c r="H6" s="21"/>
      <c r="I6" s="21"/>
      <c r="J6" s="21"/>
      <c r="K6" s="21"/>
      <c r="L6" s="21"/>
      <c r="M6" s="21"/>
    </row>
    <row r="7" spans="2:14" x14ac:dyDescent="0.3">
      <c r="B7" s="22">
        <f>Sheet3!B3</f>
        <v>546600</v>
      </c>
      <c r="C7" s="22"/>
      <c r="D7" s="22"/>
      <c r="E7" s="23">
        <f>Sheet3!B4</f>
        <v>15</v>
      </c>
      <c r="F7" s="23"/>
      <c r="G7" s="23"/>
      <c r="H7" s="23">
        <f>Sheet3!B5</f>
        <v>43</v>
      </c>
      <c r="I7" s="23"/>
      <c r="J7" s="23"/>
      <c r="K7" s="23">
        <f>Sheet3!B6</f>
        <v>120000</v>
      </c>
      <c r="L7" s="23"/>
      <c r="M7" s="23"/>
    </row>
    <row r="8" spans="2:14" x14ac:dyDescent="0.3">
      <c r="B8" s="22"/>
      <c r="C8" s="22"/>
      <c r="D8" s="22"/>
      <c r="E8" s="23"/>
      <c r="F8" s="23"/>
      <c r="G8" s="23"/>
      <c r="H8" s="23"/>
      <c r="I8" s="23"/>
      <c r="J8" s="23"/>
      <c r="K8" s="23"/>
      <c r="L8" s="23"/>
      <c r="M8" s="23"/>
    </row>
  </sheetData>
  <mergeCells count="9">
    <mergeCell ref="B2:N3"/>
    <mergeCell ref="B5:D6"/>
    <mergeCell ref="B7:D8"/>
    <mergeCell ref="E5:G6"/>
    <mergeCell ref="E7:G8"/>
    <mergeCell ref="H5:J6"/>
    <mergeCell ref="H7:J8"/>
    <mergeCell ref="K5:M6"/>
    <mergeCell ref="K7:M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375EC-A561-4EFA-A9C1-EBAC29628CCB}">
  <dimension ref="A1"/>
  <sheetViews>
    <sheetView tabSelected="1" zoomScale="35" zoomScaleNormal="73" workbookViewId="0">
      <selection activeCell="AJ22" sqref="AJ22"/>
    </sheetView>
  </sheetViews>
  <sheetFormatPr defaultRowHeight="14.4" x14ac:dyDescent="0.3"/>
  <cols>
    <col min="1" max="1" width="9.7773437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Sheet7</vt:lpstr>
      <vt:lpstr>Sheet8</vt:lpstr>
      <vt:lpstr>Sheet2</vt:lpstr>
      <vt:lpstr>Sheet3</vt:lpstr>
      <vt:lpstr>Sheet4</vt:lpstr>
      <vt:lpstr>Sheet5</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Pallam Saikrishna</dc:creator>
  <cp:lastModifiedBy>Pallam Saikrishna</cp:lastModifiedBy>
  <dcterms:created xsi:type="dcterms:W3CDTF">2026-10-08T03:39:00Z</dcterms:created>
  <dcterms:modified xsi:type="dcterms:W3CDTF">2026-10-11T03:54:37Z</dcterms:modified>
</cp:coreProperties>
</file>